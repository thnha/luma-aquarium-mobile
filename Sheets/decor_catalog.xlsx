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ói quà" sheetId="1" r:id="rId1"/>
    <sheet name="Cá" sheetId="2" r:id="rId2"/>
    <sheet name="Cá – hình dáng" sheetId="3" r:id="rId3"/>
    <sheet name="Cá – màu" sheetId="4" r:id="rId4"/>
    <sheet name="Cá – bề mặt" sheetId="5" r:id="rId5"/>
    <sheet name="Cá – vây" sheetId="6" r:id="rId6"/>
    <sheet name="Lũa" sheetId="7" r:id="rId7"/>
    <sheet name="Đá" sheetId="8" r:id="rId8"/>
    <sheet name="San hô" sheetId="9" r:id="rId9"/>
    <sheet name="Cây" sheetId="10" r:id="rId10"/>
    <sheet name="Rêu" sheetId="11" r:id="rId11"/>
    <sheet name="Bèo" sheetId="12" r:id="rId12"/>
    <sheet name="Thành hồ" sheetId="13" r:id="rId13"/>
    <sheet name="Cát nền" sheetId="14" r:id="rId14"/>
    <sheet name="Hồ" sheetId="15" r:id="rId15"/>
  </sheets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1"/>
      <name val="Arial"/>
    </font>
    <font>
      <sz val="11"/>
      <color rgb="FF707070"/>
      <name val="Arial"/>
    </font>
    <font>
      <sz val="11"/>
      <color rgb="FFFFFFFF"/>
      <name val="Arial"/>
    </font>
  </fonts>
  <fills count="15">
    <fill>
      <patternFill patternType="none"/>
    </fill>
    <fill>
      <patternFill patternType="gray125"/>
    </fill>
    <fill>
      <patternFill patternType="solid">
        <fgColor rgb="FFE3E3E3"/>
      </patternFill>
    </fill>
    <fill>
      <patternFill patternType="solid">
        <fgColor rgb="FF1F4FD1"/>
      </patternFill>
    </fill>
    <fill>
      <patternFill patternType="solid">
        <fgColor rgb="FFF2F2F2"/>
      </patternFill>
    </fill>
    <fill>
      <patternFill patternType="solid">
        <fgColor rgb="FF171717"/>
      </patternFill>
    </fill>
    <fill>
      <patternFill patternType="solid">
        <fgColor rgb="FFFFD133"/>
      </patternFill>
    </fill>
    <fill>
      <patternFill patternType="solid">
        <fgColor rgb="FF9E6B38"/>
      </patternFill>
    </fill>
    <fill>
      <patternFill patternType="solid">
        <fgColor rgb="FF80808C"/>
      </patternFill>
    </fill>
    <fill>
      <patternFill patternType="solid">
        <fgColor rgb="FFFFFFFF"/>
      </patternFill>
    </fill>
    <fill>
      <patternFill patternType="solid">
        <fgColor rgb="FF38393D"/>
      </patternFill>
    </fill>
    <fill>
      <patternFill patternType="solid">
        <fgColor rgb="FFFF0808"/>
      </patternFill>
    </fill>
    <fill>
      <patternFill patternType="solid">
        <fgColor rgb="FFFFA80A"/>
      </patternFill>
    </fill>
    <fill>
      <patternFill patternType="solid">
        <fgColor rgb="FF4C4C54"/>
      </patternFill>
    </fill>
    <fill>
      <patternFill patternType="solid">
        <fgColor rgb="FFE0E0E0"/>
      </patternFill>
    </fill>
  </fills>
  <borders count="1">
    <border/>
  </borders>
  <cellStyleXfs count="1">
    <xf/>
  </cellStyleXfs>
  <cellXfs count="17">
    <xf/>
    <xf fontId="1" applyFont="1"/>
    <xf fontId="1" fillId="2" applyFont="1" applyFill="1"/>
    <xf fontId="2" fillId="2" applyFont="1" applyFill="1" applyAlignment="1">
      <alignment vertical="center"/>
    </xf>
    <xf applyAlignment="1">
      <alignment vertical="center" wrapText="1"/>
    </xf>
    <xf fontId="3" fillId="3" applyFont="1" applyFill="1" applyAlignment="1">
      <alignment vertical="center"/>
    </xf>
    <xf fontId="0" fillId="4" applyFont="1" applyFill="1" applyAlignment="1">
      <alignment vertical="center"/>
    </xf>
    <xf fontId="3" fillId="5" applyFont="1" applyFill="1" applyAlignment="1">
      <alignment vertical="center"/>
    </xf>
    <xf fontId="0" fillId="6" applyFont="1" applyFill="1" applyAlignment="1">
      <alignment vertical="center"/>
    </xf>
    <xf fontId="3" fillId="7" applyFont="1" applyFill="1" applyAlignment="1">
      <alignment vertical="center"/>
    </xf>
    <xf fontId="0" fillId="8" applyFont="1" applyFill="1" applyAlignment="1">
      <alignment vertical="center"/>
    </xf>
    <xf fontId="0" fillId="9" applyFont="1" applyFill="1" applyAlignment="1">
      <alignment vertical="center"/>
    </xf>
    <xf fontId="3" fillId="10" applyFont="1" applyFill="1" applyAlignment="1">
      <alignment vertical="center"/>
    </xf>
    <xf fontId="3" fillId="11" applyFont="1" applyFill="1" applyAlignment="1">
      <alignment vertical="center"/>
    </xf>
    <xf fontId="0" fillId="12" applyFont="1" applyFill="1" applyAlignment="1">
      <alignment vertical="center"/>
    </xf>
    <xf fontId="3" fillId="13" applyFont="1" applyFill="1" applyAlignment="1">
      <alignment vertical="center"/>
    </xf>
    <xf fontId="0" fillId="14" applyFont="1" applyFill="1" applyAlignme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</cols>
  <sheetData>
    <row r="1">
      <c r="A1" s="1" t="inlineStr">
        <is>
          <t xml:space="preserve">gói</t>
        </is>
      </c>
      <c r="B1" s="1" t="inlineStr">
        <is>
          <t xml:space="preserve">id</t>
        </is>
      </c>
      <c r="C1" s="1" t="inlineStr">
        <is>
          <t xml:space="preserve">số lượng</t>
        </is>
      </c>
      <c r="D1" s="1" t="inlineStr">
        <is>
          <t xml:space="preserve">dùng ngay</t>
        </is>
      </c>
    </row>
    <row r="2">
      <c r="A2" s="4" t="inlineStr">
        <is>
          <t xml:space="preserve">starter_v1</t>
        </is>
      </c>
      <c r="B2" s="4" t="inlineStr">
        <is>
          <t xml:space="preserve">xu</t>
        </is>
      </c>
      <c r="C2" s="4">
        <v>1250</v>
      </c>
      <c r="D2" s="4" t="inlineStr">
        <is>
          <t xml:space="preserve"/>
        </is>
      </c>
    </row>
    <row r="3">
      <c r="A3" s="4" t="inlineStr">
        <is>
          <t xml:space="preserve">starter_v1</t>
        </is>
      </c>
      <c r="B3" s="4" t="inlineStr">
        <is>
          <t xml:space="preserve">plakat-galaxy</t>
        </is>
      </c>
      <c r="C3" s="4">
        <v>1</v>
      </c>
      <c r="D3" s="4" t="inlineStr">
        <is>
          <t xml:space="preserve">x</t>
        </is>
      </c>
    </row>
    <row r="4">
      <c r="A4" s="4" t="inlineStr">
        <is>
          <t xml:space="preserve">starter_v1</t>
        </is>
      </c>
      <c r="B4" s="4" t="inlineStr">
        <is>
          <t xml:space="preserve">tank_square</t>
        </is>
      </c>
      <c r="C4" s="4">
        <v>1</v>
      </c>
      <c r="D4" s="4" t="inlineStr">
        <is>
          <t xml:space="preserve">x</t>
        </is>
      </c>
    </row>
    <row r="5">
      <c r="A5" s="4" t="inlineStr">
        <is>
          <t xml:space="preserve">starter_v1</t>
        </is>
      </c>
      <c r="B5" s="4" t="inlineStr">
        <is>
          <t xml:space="preserve">wall_river</t>
        </is>
      </c>
      <c r="C5" s="4">
        <v>1</v>
      </c>
      <c r="D5" s="4" t="inlineStr">
        <is>
          <t xml:space="preserve">x</t>
        </is>
      </c>
    </row>
    <row r="6">
      <c r="A6" s="4" t="inlineStr">
        <is>
          <t xml:space="preserve">starter_v1</t>
        </is>
      </c>
      <c r="B6" s="4" t="inlineStr">
        <is>
          <t xml:space="preserve">sand_river</t>
        </is>
      </c>
      <c r="C6" s="4">
        <v>1</v>
      </c>
      <c r="D6" s="4" t="inlineStr">
        <is>
          <t xml:space="preserve">x</t>
        </is>
      </c>
    </row>
    <row r="7">
      <c r="A7" s="4" t="inlineStr">
        <is>
          <t xml:space="preserve">starter_v1</t>
        </is>
      </c>
      <c r="B7" s="4" t="inlineStr">
        <is>
          <t xml:space="preserve">starter-anubias</t>
        </is>
      </c>
      <c r="C7" s="4">
        <v>2</v>
      </c>
      <c r="D7" s="4" t="inlineStr">
        <is>
          <t xml:space="preserve"/>
        </is>
      </c>
    </row>
    <row r="8">
      <c r="A8" s="4" t="inlineStr">
        <is>
          <t xml:space="preserve">starter_v1</t>
        </is>
      </c>
      <c r="B8" s="4" t="inlineStr">
        <is>
          <t xml:space="preserve">starter-stone</t>
        </is>
      </c>
      <c r="C8" s="4">
        <v>2</v>
      </c>
      <c r="D8" s="4" t="inlineStr">
        <is>
          <t xml:space="preserve"/>
        </is>
      </c>
    </row>
    <row r="9">
      <c r="A9" s="4" t="inlineStr">
        <is>
          <t xml:space="preserve">starter_v1</t>
        </is>
      </c>
      <c r="B9" s="4" t="inlineStr">
        <is>
          <t xml:space="preserve">starter-wood</t>
        </is>
      </c>
      <c r="C9" s="4">
        <v>2</v>
      </c>
      <c r="D9" s="4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  <col min="6" max="6" width="8" customWidth="1"/>
    <col min="7" max="7" width="8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  <c r="F1" s="2" t="inlineStr">
        <is>
          <t xml:space="preserve">kiểu</t>
        </is>
      </c>
      <c r="G1" s="2" t="inlineStr">
        <is>
          <t xml:space="preserve">cỡ</t>
        </is>
      </c>
    </row>
    <row r="2" ht="66" customHeight="1">
      <c r="A2" s="4" t="inlineStr">
        <is>
          <t xml:space="preserve">black-samurai-betta</t>
        </is>
      </c>
      <c r="B2" s="3">
        <f>IMAGE("https://pub-590970a58ce5426989b3bcd2897271b4.r2.dev/sheet-images/fish/black-samurai-betta.png?v=43252278")</f>
      </c>
      <c r="C2" s="4" t="inlineStr">
        <is>
          <t xml:space="preserve">Betta Samurai Đen</t>
        </is>
      </c>
      <c r="D2" s="4" t="inlineStr">
        <is>
          <t xml:space="preserve">Samurai đen, vảy trắng bạc · màu gốc theo mô hình</t>
        </is>
      </c>
      <c r="E2" s="4">
        <v>1800</v>
      </c>
      <c r="F2" s="3" t="inlineStr">
        <is>
          <t xml:space="preserve">Solid</t>
        </is>
      </c>
      <c r="G2" s="3" t="inlineStr">
        <is>
          <t xml:space="preserve">1.5</t>
        </is>
      </c>
    </row>
    <row r="3" ht="66" customHeight="1">
      <c r="A3" s="4" t="inlineStr">
        <is>
          <t xml:space="preserve">blue-flame-betta</t>
        </is>
      </c>
      <c r="B3" s="3">
        <f>IMAGE("https://pub-590970a58ce5426989b3bcd2897271b4.r2.dev/sheet-images/fish/blue-flame-betta.png?v=9950f4a4")</f>
      </c>
      <c r="C3" s="4" t="inlineStr">
        <is>
          <t xml:space="preserve">Blue Flame Betta</t>
        </is>
      </c>
      <c r="D3" s="4" t="inlineStr">
        <is>
          <t xml:space="preserve">Xanh dương, đỏ, cam · màu gốc theo mô hình</t>
        </is>
      </c>
      <c r="E3" s="4">
        <v>900</v>
      </c>
      <c r="F3" s="3" t="inlineStr">
        <is>
          <t xml:space="preserve">Solid</t>
        </is>
      </c>
      <c r="G3" s="3" t="inlineStr">
        <is>
          <t xml:space="preserve">1.5</t>
        </is>
      </c>
    </row>
    <row r="4" ht="66" customHeight="1">
      <c r="A4" s="4" t="inlineStr">
        <is>
          <t xml:space="preserve">blue-panda-betta</t>
        </is>
      </c>
      <c r="B4" s="3">
        <f>IMAGE("https://pub-590970a58ce5426989b3bcd2897271b4.r2.dev/sheet-images/fish/blue-panda-betta.png?v=1cbc3e15")</f>
      </c>
      <c r="C4" s="4" t="inlineStr">
        <is>
          <t xml:space="preserve">Betta Gấu Trúc Xanh</t>
        </is>
      </c>
      <c r="D4" s="4" t="inlineStr">
        <is>
          <t xml:space="preserve">Thân trắng hồng đốm đen, đuôi trắng mảng xanh dương đậm · màu gốc theo mô hình</t>
        </is>
      </c>
      <c r="E4" s="4">
        <v>1800</v>
      </c>
      <c r="F4" s="3" t="inlineStr">
        <is>
          <t xml:space="preserve">Solid</t>
        </is>
      </c>
      <c r="G4" s="3" t="inlineStr">
        <is>
          <t xml:space="preserve">1.5</t>
        </is>
      </c>
    </row>
    <row r="5" ht="66" customHeight="1">
      <c r="A5" s="4" t="inlineStr">
        <is>
          <t xml:space="preserve">blue-wild-betta</t>
        </is>
      </c>
      <c r="B5" s="3">
        <f>IMAGE("https://pub-590970a58ce5426989b3bcd2897271b4.r2.dev/sheet-images/fish/blue-wild-betta.png?v=e36e243b")</f>
      </c>
      <c r="C5" s="4" t="inlineStr">
        <is>
          <t xml:space="preserve">Betta Rồng Xanh</t>
        </is>
      </c>
      <c r="D5" s="4" t="inlineStr">
        <is>
          <t xml:space="preserve">Betta hoang dã xanh lam, đốm đen trên vây · màu gốc theo mô hình</t>
        </is>
      </c>
      <c r="E5" s="4">
        <v>2000</v>
      </c>
      <c r="F5" s="3" t="inlineStr">
        <is>
          <t xml:space="preserve">Solid</t>
        </is>
      </c>
      <c r="G5" s="3" t="inlineStr">
        <is>
          <t xml:space="preserve">1.5</t>
        </is>
      </c>
    </row>
    <row r="6" ht="66" customHeight="1">
      <c r="A6" s="4" t="inlineStr">
        <is>
          <t xml:space="preserve">colorful-betta</t>
        </is>
      </c>
      <c r="B6" s="3">
        <f>IMAGE("https://pub-590970a58ce5426989b3bcd2897271b4.r2.dev/sheet-images/fish/colorful-betta.png?v=5cc1541c")</f>
      </c>
      <c r="C6" s="4" t="inlineStr">
        <is>
          <t xml:space="preserve">Colorful Betta</t>
        </is>
      </c>
      <c r="D6" s="4" t="inlineStr">
        <is>
          <t xml:space="preserve">Xanh dương, đỏ, trắng, vàng · màu gốc theo mô hình</t>
        </is>
      </c>
      <c r="E6" s="4">
        <v>800</v>
      </c>
      <c r="F6" s="3" t="inlineStr">
        <is>
          <t xml:space="preserve">Solid</t>
        </is>
      </c>
      <c r="G6" s="3" t="inlineStr">
        <is>
          <t xml:space="preserve">1.5</t>
        </is>
      </c>
    </row>
    <row r="7" ht="66" customHeight="1">
      <c r="A7" s="4" t="inlineStr">
        <is>
          <t xml:space="preserve">emerald-red-betta</t>
        </is>
      </c>
      <c r="B7" s="3">
        <f>IMAGE("https://pub-590970a58ce5426989b3bcd2897271b4.r2.dev/sheet-images/fish/emerald-red-betta.png?v=c2d27f6b")</f>
      </c>
      <c r="C7" s="4" t="inlineStr">
        <is>
          <t xml:space="preserve">Betta Lục Bảo Đỏ</t>
        </is>
      </c>
      <c r="D7" s="4" t="inlineStr">
        <is>
          <t xml:space="preserve">Thân vảy xanh lục bảo, vây đỏ viền sẫm, đuôi bán nguyệt · màu gốc theo mô hình</t>
        </is>
      </c>
      <c r="E7" s="4">
        <v>1600</v>
      </c>
      <c r="F7" s="3" t="inlineStr">
        <is>
          <t xml:space="preserve">Solid</t>
        </is>
      </c>
      <c r="G7" s="3" t="inlineStr">
        <is>
          <t xml:space="preserve">1.5</t>
        </is>
      </c>
    </row>
    <row r="8" ht="66" customHeight="1">
      <c r="A8" s="4" t="inlineStr">
        <is>
          <t xml:space="preserve">galaxy-betta</t>
        </is>
      </c>
      <c r="B8" s="3">
        <f>IMAGE("https://pub-590970a58ce5426989b3bcd2897271b4.r2.dev/sheet-images/fish/galaxy-betta.png?v=ab617dcf")</f>
      </c>
      <c r="C8" s="4" t="inlineStr">
        <is>
          <t xml:space="preserve">Galaxy Betta</t>
        </is>
      </c>
      <c r="D8" s="4" t="inlineStr">
        <is>
          <t xml:space="preserve">Xanh ngọc, xanh dương, đen · màu gốc theo mô hình</t>
        </is>
      </c>
      <c r="E8" s="4">
        <v>1200</v>
      </c>
      <c r="F8" s="3" t="inlineStr">
        <is>
          <t xml:space="preserve">Solid</t>
        </is>
      </c>
      <c r="G8" s="3" t="inlineStr">
        <is>
          <t xml:space="preserve">1.5</t>
        </is>
      </c>
    </row>
    <row r="9" ht="66" customHeight="1">
      <c r="A9" s="4" t="inlineStr">
        <is>
          <t xml:space="preserve">gold-tiger-betta</t>
        </is>
      </c>
      <c r="B9" s="3">
        <f>IMAGE("https://pub-590970a58ce5426989b3bcd2897271b4.r2.dev/sheet-images/fish/gold-tiger-betta.png?v=b85cc880")</f>
      </c>
      <c r="C9" s="4" t="inlineStr">
        <is>
          <t xml:space="preserve">Betta Hổ Vàng</t>
        </is>
      </c>
      <c r="D9" s="4" t="inlineStr">
        <is>
          <t xml:space="preserve">Thân cam vàng đốm đen, đầu trắng hồng, đuôi đen ánh tím · màu gốc theo mô hình</t>
        </is>
      </c>
      <c r="E9" s="4">
        <v>1600</v>
      </c>
      <c r="F9" s="3" t="inlineStr">
        <is>
          <t xml:space="preserve">Solid</t>
        </is>
      </c>
      <c r="G9" s="3" t="inlineStr">
        <is>
          <t xml:space="preserve">1.5</t>
        </is>
      </c>
    </row>
    <row r="10" ht="66" customHeight="1">
      <c r="A10" s="4" t="inlineStr">
        <is>
          <t xml:space="preserve">koi-betta</t>
        </is>
      </c>
      <c r="B10" s="3">
        <f>IMAGE("https://pub-590970a58ce5426989b3bcd2897271b4.r2.dev/sheet-images/fish/koi-betta.png?v=798a58a8")</f>
      </c>
      <c r="C10" s="4" t="inlineStr">
        <is>
          <t xml:space="preserve">Koi Betta</t>
        </is>
      </c>
      <c r="D10" s="4" t="inlineStr">
        <is>
          <t xml:space="preserve">Koi xanh, đỏ, vàng, tím · màu gốc theo mô hình</t>
        </is>
      </c>
      <c r="E10" s="4">
        <v>1200</v>
      </c>
      <c r="F10" s="3" t="inlineStr">
        <is>
          <t xml:space="preserve">Solid</t>
        </is>
      </c>
      <c r="G10" s="3" t="inlineStr">
        <is>
          <t xml:space="preserve">1.5</t>
        </is>
      </c>
    </row>
    <row r="11" ht="66" customHeight="1">
      <c r="A11" s="4" t="inlineStr">
        <is>
          <t xml:space="preserve">koi-nemo</t>
        </is>
      </c>
      <c r="B11" s="3">
        <f>IMAGE("https://pub-590970a58ce5426989b3bcd2897271b4.r2.dev/sheet-images/fish/koi-nemo.png?v=f57fa2a7")</f>
      </c>
      <c r="C11" s="4" t="inlineStr">
        <is>
          <t xml:space="preserve">Koi Nemo Betta</t>
        </is>
      </c>
      <c r="D11" s="4" t="inlineStr">
        <is>
          <t xml:space="preserve">Xanh dương, trắng, đen · Koi Nemo đuôi tròn</t>
        </is>
      </c>
      <c r="E11" s="4">
        <v>1300</v>
      </c>
      <c r="F11" s="3" t="inlineStr">
        <is>
          <t xml:space="preserve">Butterfly</t>
        </is>
      </c>
      <c r="G11" s="3" t="inlineStr">
        <is>
          <t xml:space="preserve">1.5</t>
        </is>
      </c>
    </row>
    <row r="12" ht="66" customHeight="1">
      <c r="A12" s="4" t="inlineStr">
        <is>
          <t xml:space="preserve">nemo-koi-betta</t>
        </is>
      </c>
      <c r="B12" s="3">
        <f>IMAGE("https://pub-590970a58ce5426989b3bcd2897271b4.r2.dev/sheet-images/fish/nemo-koi-betta.png?v=0a139958")</f>
      </c>
      <c r="C12" s="4" t="inlineStr">
        <is>
          <t xml:space="preserve">Nemo Koi Betta</t>
        </is>
      </c>
      <c r="D12" s="4" t="inlineStr">
        <is>
          <t xml:space="preserve">Koi đỏ, cam, xanh dương, trắng · màu gốc theo mô hình</t>
        </is>
      </c>
      <c r="E12" s="4">
        <v>1200</v>
      </c>
      <c r="F12" s="3" t="inlineStr">
        <is>
          <t xml:space="preserve">Solid</t>
        </is>
      </c>
      <c r="G12" s="3" t="inlineStr">
        <is>
          <t xml:space="preserve">1.5</t>
        </is>
      </c>
    </row>
    <row r="13" ht="66" customHeight="1">
      <c r="A13" s="4" t="inlineStr">
        <is>
          <t xml:space="preserve">plakat</t>
        </is>
      </c>
      <c r="B13" s="3">
        <f>IMAGE("https://pub-590970a58ce5426989b3bcd2897271b4.r2.dev/sheet-images/fish/plakat.png?v=d3f82500")</f>
      </c>
      <c r="C13" s="4" t="inlineStr">
        <is>
          <t xml:space="preserve">Plakat Koi</t>
        </is>
      </c>
      <c r="D13" s="4" t="inlineStr">
        <is>
          <t xml:space="preserve">Đỏ, cam, xanh · Plakat đuôi ngắn</t>
        </is>
      </c>
      <c r="E13" s="4">
        <v>700</v>
      </c>
      <c r="F13" s="3" t="inlineStr">
        <is>
          <t xml:space="preserve">Koi</t>
        </is>
      </c>
      <c r="G13" s="3" t="inlineStr">
        <is>
          <t xml:space="preserve">1.5</t>
        </is>
      </c>
    </row>
    <row r="14" ht="66" customHeight="1">
      <c r="A14" s="4" t="inlineStr">
        <is>
          <t xml:space="preserve">plakat-galaxy</t>
        </is>
      </c>
      <c r="B14" s="3">
        <f>IMAGE("https://pub-590970a58ce5426989b3bcd2897271b4.r2.dev/sheet-images/fish/plakat-galaxy.png?v=a66df8df")</f>
      </c>
      <c r="C14" s="4" t="inlineStr">
        <is>
          <t xml:space="preserve">Koi Galaxy Betta</t>
        </is>
      </c>
      <c r="D14" s="4" t="inlineStr">
        <is>
          <t xml:space="preserve">Thân trắng ngọc mảng đỏ tươi, lưng vảy đen, mang trắng viền đỏ, vây vàng nghệ</t>
        </is>
      </c>
      <c r="E14" s="4">
        <v>600</v>
      </c>
      <c r="F14" s="3" t="inlineStr">
        <is>
          <t xml:space="preserve">KoiGalaxy</t>
        </is>
      </c>
      <c r="G14" s="3" t="inlineStr">
        <is>
          <t xml:space="preserve">1.5</t>
        </is>
      </c>
    </row>
    <row r="15" ht="66" customHeight="1">
      <c r="A15" s="4" t="inlineStr">
        <is>
          <t xml:space="preserve">purple-moon-betta</t>
        </is>
      </c>
      <c r="B15" s="3">
        <f>IMAGE("https://pub-590970a58ce5426989b3bcd2897271b4.r2.dev/sheet-images/fish/purple-moon-betta.png?v=f988dcb3")</f>
      </c>
      <c r="C15" s="4" t="inlineStr">
        <is>
          <t xml:space="preserve">Betta Trăng Tím</t>
        </is>
      </c>
      <c r="D15" s="4" t="inlineStr">
        <is>
          <t xml:space="preserve">Thân vảy bạc ánh kim, vây tím crôm, đuôi bán nguyệt viền trắng · màu gốc theo mô hình</t>
        </is>
      </c>
      <c r="E15" s="4">
        <v>1800</v>
      </c>
      <c r="F15" s="3" t="inlineStr">
        <is>
          <t xml:space="preserve">Solid</t>
        </is>
      </c>
      <c r="G15" s="3" t="inlineStr">
        <is>
          <t xml:space="preserve">1.5</t>
        </is>
      </c>
    </row>
    <row r="16" ht="66" customHeight="1">
      <c r="A16" s="4" t="inlineStr">
        <is>
          <t xml:space="preserve">purple-ruby-betta</t>
        </is>
      </c>
      <c r="B16" s="3">
        <f>IMAGE("https://pub-590970a58ce5426989b3bcd2897271b4.r2.dev/sheet-images/fish/purple-ruby-betta.png?v=8b2a77a6")</f>
      </c>
      <c r="C16" s="4" t="inlineStr">
        <is>
          <t xml:space="preserve">Betta Hồng Ngọc Tím</t>
        </is>
      </c>
      <c r="D16" s="4" t="inlineStr">
        <is>
          <t xml:space="preserve">Thân tím hồng, đầu và vây đỏ hồng ngọc viền trắng · màu gốc theo mô hình</t>
        </is>
      </c>
      <c r="E16" s="4">
        <v>1500</v>
      </c>
      <c r="F16" s="3" t="inlineStr">
        <is>
          <t xml:space="preserve">Solid</t>
        </is>
      </c>
      <c r="G16" s="3" t="inlineStr">
        <is>
          <t xml:space="preserve">1.5</t>
        </is>
      </c>
    </row>
    <row r="17" ht="66" customHeight="1">
      <c r="A17" s="4" t="inlineStr">
        <is>
          <t xml:space="preserve">red-steel-betta</t>
        </is>
      </c>
      <c r="B17" s="3">
        <f>IMAGE("https://pub-590970a58ce5426989b3bcd2897271b4.r2.dev/sheet-images/fish/red-steel-betta.png?v=e29f7895")</f>
      </c>
      <c r="C17" s="4" t="inlineStr">
        <is>
          <t xml:space="preserve">Red Steel Betta</t>
        </is>
      </c>
      <c r="D17" s="4" t="inlineStr">
        <is>
          <t xml:space="preserve">Thân xanh thép, vây đỏ trắng · màu gốc theo mô hình</t>
        </is>
      </c>
      <c r="E17" s="4">
        <v>900</v>
      </c>
      <c r="F17" s="3" t="inlineStr">
        <is>
          <t xml:space="preserve">Solid</t>
        </is>
      </c>
      <c r="G17" s="3" t="inlineStr">
        <is>
          <t xml:space="preserve">1.5</t>
        </is>
      </c>
    </row>
    <row r="18" ht="66" customHeight="1">
      <c r="A18" s="4" t="inlineStr">
        <is>
          <t xml:space="preserve">royal-koi-betta</t>
        </is>
      </c>
      <c r="B18" s="3">
        <f>IMAGE("https://pub-590970a58ce5426989b3bcd2897271b4.r2.dev/sheet-images/fish/royal-koi-betta.png?v=413784be")</f>
      </c>
      <c r="C18" s="4" t="inlineStr">
        <is>
          <t xml:space="preserve">Royal Koi</t>
        </is>
      </c>
      <c r="D18" s="4" t="inlineStr">
        <is>
          <t xml:space="preserve">Koi xanh hoàng gia, đỏ, vàng · màu gốc theo mô hình</t>
        </is>
      </c>
      <c r="E18" s="4">
        <v>2200</v>
      </c>
      <c r="F18" s="3" t="inlineStr">
        <is>
          <t xml:space="preserve">Solid</t>
        </is>
      </c>
      <c r="G18" s="3" t="inlineStr">
        <is>
          <t xml:space="preserve">1.5</t>
        </is>
      </c>
    </row>
    <row r="19" ht="66" customHeight="1">
      <c r="A19" s="4" t="inlineStr">
        <is>
          <t xml:space="preserve">sky-koi-betta</t>
        </is>
      </c>
      <c r="B19" s="3">
        <f>IMAGE("https://pub-590970a58ce5426989b3bcd2897271b4.r2.dev/sheet-images/fish/sky-koi-betta.png?v=974c7f77")</f>
      </c>
      <c r="C19" s="4" t="inlineStr">
        <is>
          <t xml:space="preserve">Sky Koi Betta</t>
        </is>
      </c>
      <c r="D19" s="4" t="inlineStr">
        <is>
          <t xml:space="preserve">Xanh da trời, đỏ, cam · màu gốc theo mô hình</t>
        </is>
      </c>
      <c r="E19" s="4">
        <v>1000</v>
      </c>
      <c r="F19" s="3" t="inlineStr">
        <is>
          <t xml:space="preserve">Solid</t>
        </is>
      </c>
      <c r="G19" s="3" t="inlineStr">
        <is>
          <t xml:space="preserve">1.5</t>
        </is>
      </c>
    </row>
    <row r="20" ht="66" customHeight="1">
      <c r="A20" s="4" t="inlineStr">
        <is>
          <t xml:space="preserve">sky-koi-betta-m4</t>
        </is>
      </c>
      <c r="B20" s="3">
        <f>IMAGE("https://pub-590970a58ce5426989b3bcd2897271b4.r2.dev/sheet-images/fish/sky-koi-betta-m4.png?v=099e8b9d")</f>
      </c>
      <c r="C20" s="4" t="inlineStr">
        <is>
          <t xml:space="preserve">Sky Koi Betta M4</t>
        </is>
      </c>
      <c r="D20" s="4" t="inlineStr">
        <is>
          <t xml:space="preserve">Xanh da trời, đỏ, cam · màu gốc theo mô hình</t>
        </is>
      </c>
      <c r="E20" s="4">
        <v>1000</v>
      </c>
      <c r="F20" s="3" t="inlineStr">
        <is>
          <t xml:space="preserve">Solid</t>
        </is>
      </c>
      <c r="G20" s="3" t="inlineStr">
        <is>
          <t xml:space="preserve">1.5</t>
        </is>
      </c>
    </row>
    <row r="21" ht="66" customHeight="1">
      <c r="A21" s="4" t="inlineStr">
        <is>
          <t xml:space="preserve">teal-white-betta</t>
        </is>
      </c>
      <c r="B21" s="3">
        <f>IMAGE("https://pub-590970a58ce5426989b3bcd2897271b4.r2.dev/sheet-images/fish/teal-white-betta.png?v=a25361f1")</f>
      </c>
      <c r="C21" s="4" t="inlineStr">
        <is>
          <t xml:space="preserve">Betta Trắng Ngọc Lam</t>
        </is>
      </c>
      <c r="D21" s="4" t="inlineStr">
        <is>
          <t xml:space="preserve">Thân trắng, đuôi xanh ngọc lam, vây bụng cam · màu gốc theo mô hình</t>
        </is>
      </c>
      <c r="E21" s="4">
        <v>1300</v>
      </c>
      <c r="F21" s="3" t="inlineStr">
        <is>
          <t xml:space="preserve">Solid</t>
        </is>
      </c>
      <c r="G21" s="3" t="inlineStr">
        <is>
          <t xml:space="preserve">1.5</t>
        </is>
      </c>
    </row>
    <row r="22" ht="66" customHeight="1">
      <c r="A22" s="4" t="inlineStr">
        <is>
          <t xml:space="preserve">yellow-koi-betta</t>
        </is>
      </c>
      <c r="B22" s="3">
        <f>IMAGE("https://pub-590970a58ce5426989b3bcd2897271b4.r2.dev/sheet-images/fish/yellow-koi-betta.png?v=c8debce1")</f>
      </c>
      <c r="C22" s="4" t="inlineStr">
        <is>
          <t xml:space="preserve">Betta Koi Vàng</t>
        </is>
      </c>
      <c r="D22" s="4" t="inlineStr">
        <is>
          <t xml:space="preserve">Thân vàng cam đốm xanh, đuôi vàng chuyển trắng xanh · màu gốc theo mô hình</t>
        </is>
      </c>
      <c r="E22" s="4">
        <v>1400</v>
      </c>
      <c r="F22" s="3" t="inlineStr">
        <is>
          <t xml:space="preserve">Solid</t>
        </is>
      </c>
      <c r="G22" s="3" t="inlineStr">
        <is>
          <t xml:space="preserve">1.5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xSplit="3" ySplit="1" topLeftCell="D2" activePane="bottomRigh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</cols>
  <sheetData>
    <row r="1">
      <c r="A1" s="1" t="inlineStr">
        <is>
          <t xml:space="preserve">cá</t>
        </is>
      </c>
      <c r="B1" s="2" t="inlineStr">
        <is>
          <t xml:space="preserve">ảnh</t>
        </is>
      </c>
      <c r="C1" s="2" t="inlineStr">
        <is>
          <t xml:space="preserve">tên</t>
        </is>
      </c>
      <c r="D1" s="1" t="inlineStr">
        <is>
          <t xml:space="preserve">mẫu</t>
        </is>
      </c>
      <c r="E1" s="1" t="inlineStr">
        <is>
          <t xml:space="preserve">size</t>
        </is>
      </c>
      <c r="F1" s="1" t="inlineStr">
        <is>
          <t xml:space="preserve">bodySwimAmplitude</t>
        </is>
      </c>
      <c r="G1" s="1" t="inlineStr">
        <is>
          <t xml:space="preserve">strokeSwimAmplitude</t>
        </is>
      </c>
      <c r="H1" s="1" t="inlineStr">
        <is>
          <t xml:space="preserve">pattern</t>
        </is>
      </c>
      <c r="I1" s="1" t="inlineStr">
        <is>
          <t xml:space="preserve">seed</t>
        </is>
      </c>
    </row>
    <row r="2" ht="66" customHeight="1">
      <c r="A2" s="3" t="inlineStr">
        <is>
          <t xml:space="preserve">(mặc định)</t>
        </is>
      </c>
      <c r="B2" s="3" t="inlineStr">
        <is>
          <t xml:space="preserve"/>
        </is>
      </c>
      <c r="C2" s="3" t="inlineStr">
        <is>
          <t xml:space="preserve"/>
        </is>
      </c>
      <c r="D2" s="3" t="inlineStr">
        <is>
          <t xml:space="preserve"/>
        </is>
      </c>
      <c r="E2" s="3">
        <v>2</v>
      </c>
      <c r="F2" s="3">
        <v>3</v>
      </c>
      <c r="G2" s="3">
        <v>8</v>
      </c>
      <c r="H2" s="3" t="inlineStr">
        <is>
          <t xml:space="preserve">Solid</t>
        </is>
      </c>
      <c r="I2" s="3">
        <v>0</v>
      </c>
    </row>
    <row r="3" ht="66" customHeight="1">
      <c r="A3" s="4" t="inlineStr">
        <is>
          <t xml:space="preserve">mẫu: MeshyColour</t>
        </is>
      </c>
      <c r="B3" s="3" t="inlineStr">
        <is>
          <t xml:space="preserve"/>
        </is>
      </c>
      <c r="C3" s="3" t="inlineStr">
        <is>
          <t xml:space="preserve"/>
        </is>
      </c>
      <c r="D3" s="4" t="inlineStr">
        <is>
          <t xml:space="preserve"/>
        </is>
      </c>
      <c r="E3" s="4">
        <v>1.5</v>
      </c>
      <c r="F3" s="4">
        <v>3</v>
      </c>
      <c r="G3" s="4">
        <v>8</v>
      </c>
      <c r="H3" s="4" t="inlineStr">
        <is>
          <t xml:space="preserve">Solid</t>
        </is>
      </c>
      <c r="I3" s="4">
        <v>3</v>
      </c>
    </row>
    <row r="4" ht="66" customHeight="1">
      <c r="A4" s="4" t="inlineStr">
        <is>
          <t xml:space="preserve">BlackSamuraiBetta</t>
        </is>
      </c>
      <c r="B4" s="3">
        <f>IMAGE("https://pub-590970a58ce5426989b3bcd2897271b4.r2.dev/sheet-images/fish/black-samurai-betta.png?v=43252278")</f>
      </c>
      <c r="C4" s="3" t="inlineStr">
        <is>
          <t xml:space="preserve">Betta Samurai Đen</t>
        </is>
      </c>
      <c r="D4" s="4" t="inlineStr">
        <is>
          <t xml:space="preserve">MeshyColour</t>
        </is>
      </c>
      <c r="E4" s="4" t="inlineStr">
        <is>
          <t xml:space="preserve"/>
        </is>
      </c>
      <c r="F4" s="4" t="inlineStr">
        <is>
          <t xml:space="preserve"/>
        </is>
      </c>
      <c r="G4" s="4" t="inlineStr">
        <is>
          <t xml:space="preserve"/>
        </is>
      </c>
      <c r="H4" s="4" t="inlineStr">
        <is>
          <t xml:space="preserve"/>
        </is>
      </c>
      <c r="I4" s="4" t="inlineStr">
        <is>
          <t xml:space="preserve"/>
        </is>
      </c>
    </row>
    <row r="5" ht="66" customHeight="1">
      <c r="A5" s="4" t="inlineStr">
        <is>
          <t xml:space="preserve">BlueFlameBetta</t>
        </is>
      </c>
      <c r="B5" s="3">
        <f>IMAGE("https://pub-590970a58ce5426989b3bcd2897271b4.r2.dev/sheet-images/fish/blue-flame-betta.png?v=9950f4a4")</f>
      </c>
      <c r="C5" s="3" t="inlineStr">
        <is>
          <t xml:space="preserve">Blue Flame Betta</t>
        </is>
      </c>
      <c r="D5" s="4" t="inlineStr">
        <is>
          <t xml:space="preserve">MeshyColour</t>
        </is>
      </c>
      <c r="E5" s="4" t="inlineStr">
        <is>
          <t xml:space="preserve"/>
        </is>
      </c>
      <c r="F5" s="4" t="inlineStr">
        <is>
          <t xml:space="preserve"/>
        </is>
      </c>
      <c r="G5" s="4" t="inlineStr">
        <is>
          <t xml:space="preserve"/>
        </is>
      </c>
      <c r="H5" s="4" t="inlineStr">
        <is>
          <t xml:space="preserve"/>
        </is>
      </c>
      <c r="I5" s="4" t="inlineStr">
        <is>
          <t xml:space="preserve"/>
        </is>
      </c>
    </row>
    <row r="6" ht="66" customHeight="1">
      <c r="A6" s="4" t="inlineStr">
        <is>
          <t xml:space="preserve">BluePandaBetta</t>
        </is>
      </c>
      <c r="B6" s="3">
        <f>IMAGE("https://pub-590970a58ce5426989b3bcd2897271b4.r2.dev/sheet-images/fish/blue-panda-betta.png?v=1cbc3e15")</f>
      </c>
      <c r="C6" s="3" t="inlineStr">
        <is>
          <t xml:space="preserve">Betta Gấu Trúc Xanh</t>
        </is>
      </c>
      <c r="D6" s="4" t="inlineStr">
        <is>
          <t xml:space="preserve">MeshyColour</t>
        </is>
      </c>
      <c r="E6" s="4" t="inlineStr">
        <is>
          <t xml:space="preserve"/>
        </is>
      </c>
      <c r="F6" s="4" t="inlineStr">
        <is>
          <t xml:space="preserve"/>
        </is>
      </c>
      <c r="G6" s="4" t="inlineStr">
        <is>
          <t xml:space="preserve"/>
        </is>
      </c>
      <c r="H6" s="4" t="inlineStr">
        <is>
          <t xml:space="preserve"/>
        </is>
      </c>
      <c r="I6" s="4" t="inlineStr">
        <is>
          <t xml:space="preserve"/>
        </is>
      </c>
    </row>
    <row r="7" ht="66" customHeight="1">
      <c r="A7" s="4" t="inlineStr">
        <is>
          <t xml:space="preserve">BlueWildBetta</t>
        </is>
      </c>
      <c r="B7" s="3">
        <f>IMAGE("https://pub-590970a58ce5426989b3bcd2897271b4.r2.dev/sheet-images/fish/blue-wild-betta.png?v=e36e243b")</f>
      </c>
      <c r="C7" s="3" t="inlineStr">
        <is>
          <t xml:space="preserve">Betta Rồng Xanh</t>
        </is>
      </c>
      <c r="D7" s="4" t="inlineStr">
        <is>
          <t xml:space="preserve">MeshyColour</t>
        </is>
      </c>
      <c r="E7" s="4" t="inlineStr">
        <is>
          <t xml:space="preserve"/>
        </is>
      </c>
      <c r="F7" s="4" t="inlineStr">
        <is>
          <t xml:space="preserve"/>
        </is>
      </c>
      <c r="G7" s="4" t="inlineStr">
        <is>
          <t xml:space="preserve"/>
        </is>
      </c>
      <c r="H7" s="4" t="inlineStr">
        <is>
          <t xml:space="preserve"/>
        </is>
      </c>
      <c r="I7" s="4" t="inlineStr">
        <is>
          <t xml:space="preserve"/>
        </is>
      </c>
    </row>
    <row r="8" ht="66" customHeight="1">
      <c r="A8" s="4" t="inlineStr">
        <is>
          <t xml:space="preserve">ColorfulBetta</t>
        </is>
      </c>
      <c r="B8" s="3">
        <f>IMAGE("https://pub-590970a58ce5426989b3bcd2897271b4.r2.dev/sheet-images/fish/colorful-betta.png?v=5cc1541c")</f>
      </c>
      <c r="C8" s="3" t="inlineStr">
        <is>
          <t xml:space="preserve">Colorful Betta</t>
        </is>
      </c>
      <c r="D8" s="4" t="inlineStr">
        <is>
          <t xml:space="preserve">MeshyColour</t>
        </is>
      </c>
      <c r="E8" s="4" t="inlineStr">
        <is>
          <t xml:space="preserve"/>
        </is>
      </c>
      <c r="F8" s="4" t="inlineStr">
        <is>
          <t xml:space="preserve"/>
        </is>
      </c>
      <c r="G8" s="4" t="inlineStr">
        <is>
          <t xml:space="preserve"/>
        </is>
      </c>
      <c r="H8" s="4" t="inlineStr">
        <is>
          <t xml:space="preserve"/>
        </is>
      </c>
      <c r="I8" s="4" t="inlineStr">
        <is>
          <t xml:space="preserve"/>
        </is>
      </c>
    </row>
    <row r="9" ht="66" customHeight="1">
      <c r="A9" s="4" t="inlineStr">
        <is>
          <t xml:space="preserve">EmeraldRedBetta</t>
        </is>
      </c>
      <c r="B9" s="3">
        <f>IMAGE("https://pub-590970a58ce5426989b3bcd2897271b4.r2.dev/sheet-images/fish/emerald-red-betta.png?v=c2d27f6b")</f>
      </c>
      <c r="C9" s="3" t="inlineStr">
        <is>
          <t xml:space="preserve">Betta Lục Bảo Đỏ</t>
        </is>
      </c>
      <c r="D9" s="4" t="inlineStr">
        <is>
          <t xml:space="preserve">MeshyColour</t>
        </is>
      </c>
      <c r="E9" s="4" t="inlineStr">
        <is>
          <t xml:space="preserve"/>
        </is>
      </c>
      <c r="F9" s="4" t="inlineStr">
        <is>
          <t xml:space="preserve"/>
        </is>
      </c>
      <c r="G9" s="4" t="inlineStr">
        <is>
          <t xml:space="preserve"/>
        </is>
      </c>
      <c r="H9" s="4" t="inlineStr">
        <is>
          <t xml:space="preserve"/>
        </is>
      </c>
      <c r="I9" s="4" t="inlineStr">
        <is>
          <t xml:space="preserve"/>
        </is>
      </c>
    </row>
    <row r="10" ht="66" customHeight="1">
      <c r="A10" s="4" t="inlineStr">
        <is>
          <t xml:space="preserve">GalaxyBetta</t>
        </is>
      </c>
      <c r="B10" s="3">
        <f>IMAGE("https://pub-590970a58ce5426989b3bcd2897271b4.r2.dev/sheet-images/fish/galaxy-betta.png?v=ab617dcf")</f>
      </c>
      <c r="C10" s="3" t="inlineStr">
        <is>
          <t xml:space="preserve">Galaxy Betta</t>
        </is>
      </c>
      <c r="D10" s="4" t="inlineStr">
        <is>
          <t xml:space="preserve">MeshyColour</t>
        </is>
      </c>
      <c r="E10" s="4" t="inlineStr">
        <is>
          <t xml:space="preserve"/>
        </is>
      </c>
      <c r="F10" s="4" t="inlineStr">
        <is>
          <t xml:space="preserve"/>
        </is>
      </c>
      <c r="G10" s="4" t="inlineStr">
        <is>
          <t xml:space="preserve"/>
        </is>
      </c>
      <c r="H10" s="4" t="inlineStr">
        <is>
          <t xml:space="preserve"/>
        </is>
      </c>
      <c r="I10" s="4" t="inlineStr">
        <is>
          <t xml:space="preserve"/>
        </is>
      </c>
    </row>
    <row r="11" ht="66" customHeight="1">
      <c r="A11" s="4" t="inlineStr">
        <is>
          <t xml:space="preserve">GoldTigerBetta</t>
        </is>
      </c>
      <c r="B11" s="3">
        <f>IMAGE("https://pub-590970a58ce5426989b3bcd2897271b4.r2.dev/sheet-images/fish/gold-tiger-betta.png?v=b85cc880")</f>
      </c>
      <c r="C11" s="3" t="inlineStr">
        <is>
          <t xml:space="preserve">Betta Hổ Vàng</t>
        </is>
      </c>
      <c r="D11" s="4" t="inlineStr">
        <is>
          <t xml:space="preserve">MeshyColour</t>
        </is>
      </c>
      <c r="E11" s="4" t="inlineStr">
        <is>
          <t xml:space="preserve"/>
        </is>
      </c>
      <c r="F11" s="4" t="inlineStr">
        <is>
          <t xml:space="preserve"/>
        </is>
      </c>
      <c r="G11" s="4" t="inlineStr">
        <is>
          <t xml:space="preserve"/>
        </is>
      </c>
      <c r="H11" s="4" t="inlineStr">
        <is>
          <t xml:space="preserve"/>
        </is>
      </c>
      <c r="I11" s="4" t="inlineStr">
        <is>
          <t xml:space="preserve"/>
        </is>
      </c>
    </row>
    <row r="12" ht="66" customHeight="1">
      <c r="A12" s="4" t="inlineStr">
        <is>
          <t xml:space="preserve">KoiBetta</t>
        </is>
      </c>
      <c r="B12" s="3">
        <f>IMAGE("https://pub-590970a58ce5426989b3bcd2897271b4.r2.dev/sheet-images/fish/koi-betta.png?v=798a58a8")</f>
      </c>
      <c r="C12" s="3" t="inlineStr">
        <is>
          <t xml:space="preserve">Koi Betta</t>
        </is>
      </c>
      <c r="D12" s="4" t="inlineStr">
        <is>
          <t xml:space="preserve">MeshyColour</t>
        </is>
      </c>
      <c r="E12" s="4" t="inlineStr">
        <is>
          <t xml:space="preserve"/>
        </is>
      </c>
      <c r="F12" s="4" t="inlineStr">
        <is>
          <t xml:space="preserve"/>
        </is>
      </c>
      <c r="G12" s="4" t="inlineStr">
        <is>
          <t xml:space="preserve"/>
        </is>
      </c>
      <c r="H12" s="4" t="inlineStr">
        <is>
          <t xml:space="preserve"/>
        </is>
      </c>
      <c r="I12" s="4" t="inlineStr">
        <is>
          <t xml:space="preserve"/>
        </is>
      </c>
    </row>
    <row r="13" ht="66" customHeight="1">
      <c r="A13" s="4" t="inlineStr">
        <is>
          <t xml:space="preserve">KoiNemoRig</t>
        </is>
      </c>
      <c r="B13" s="3">
        <f>IMAGE("https://pub-590970a58ce5426989b3bcd2897271b4.r2.dev/sheet-images/fish/koi-nemo.png?v=f57fa2a7")</f>
      </c>
      <c r="C13" s="3" t="inlineStr">
        <is>
          <t xml:space="preserve">Koi Nemo Betta</t>
        </is>
      </c>
      <c r="D13" s="4" t="inlineStr">
        <is>
          <t xml:space="preserve"/>
        </is>
      </c>
      <c r="E13" s="4">
        <v>1.5</v>
      </c>
      <c r="F13" s="4">
        <v>3</v>
      </c>
      <c r="G13" s="4">
        <v>8</v>
      </c>
      <c r="H13" s="4" t="inlineStr">
        <is>
          <t xml:space="preserve">Butterfly</t>
        </is>
      </c>
      <c r="I13" s="4">
        <v>3</v>
      </c>
    </row>
    <row r="14" ht="66" customHeight="1">
      <c r="A14" s="4" t="inlineStr">
        <is>
          <t xml:space="preserve">NemoKoiBetta</t>
        </is>
      </c>
      <c r="B14" s="3">
        <f>IMAGE("https://pub-590970a58ce5426989b3bcd2897271b4.r2.dev/sheet-images/fish/nemo-koi-betta.png?v=0a139958")</f>
      </c>
      <c r="C14" s="3" t="inlineStr">
        <is>
          <t xml:space="preserve">Nemo Koi Betta</t>
        </is>
      </c>
      <c r="D14" s="4" t="inlineStr">
        <is>
          <t xml:space="preserve">MeshyColour</t>
        </is>
      </c>
      <c r="E14" s="4" t="inlineStr">
        <is>
          <t xml:space="preserve"/>
        </is>
      </c>
      <c r="F14" s="4" t="inlineStr">
        <is>
          <t xml:space="preserve"/>
        </is>
      </c>
      <c r="G14" s="4" t="inlineStr">
        <is>
          <t xml:space="preserve"/>
        </is>
      </c>
      <c r="H14" s="4" t="inlineStr">
        <is>
          <t xml:space="preserve"/>
        </is>
      </c>
      <c r="I14" s="4" t="inlineStr">
        <is>
          <t xml:space="preserve"/>
        </is>
      </c>
    </row>
    <row r="15" ht="66" customHeight="1">
      <c r="A15" s="4" t="inlineStr">
        <is>
          <t xml:space="preserve">Plakat</t>
        </is>
      </c>
      <c r="B15" s="3">
        <f>IMAGE("https://pub-590970a58ce5426989b3bcd2897271b4.r2.dev/sheet-images/fish/plakat.png?v=d3f82500")</f>
      </c>
      <c r="C15" s="3" t="inlineStr">
        <is>
          <t xml:space="preserve">Plakat Koi</t>
        </is>
      </c>
      <c r="D15" s="4" t="inlineStr">
        <is>
          <t xml:space="preserve"/>
        </is>
      </c>
      <c r="E15" s="4">
        <v>1.5</v>
      </c>
      <c r="F15" s="4">
        <v>3</v>
      </c>
      <c r="G15" s="4">
        <v>8</v>
      </c>
      <c r="H15" s="4" t="inlineStr">
        <is>
          <t xml:space="preserve">Koi</t>
        </is>
      </c>
      <c r="I15" s="4">
        <v>3</v>
      </c>
    </row>
    <row r="16" ht="66" customHeight="1">
      <c r="A16" s="4" t="inlineStr">
        <is>
          <t xml:space="preserve">PlakatGalaxy</t>
        </is>
      </c>
      <c r="B16" s="3">
        <f>IMAGE("https://pub-590970a58ce5426989b3bcd2897271b4.r2.dev/sheet-images/fish/plakat-galaxy.png?v=a66df8df")</f>
      </c>
      <c r="C16" s="3" t="inlineStr">
        <is>
          <t xml:space="preserve">Koi Galaxy Betta</t>
        </is>
      </c>
      <c r="D16" s="4" t="inlineStr">
        <is>
          <t xml:space="preserve"/>
        </is>
      </c>
      <c r="E16" s="4">
        <v>1.5</v>
      </c>
      <c r="F16" s="4">
        <v>3</v>
      </c>
      <c r="G16" s="4">
        <v>8</v>
      </c>
      <c r="H16" s="4" t="inlineStr">
        <is>
          <t xml:space="preserve">KoiGalaxy</t>
        </is>
      </c>
      <c r="I16" s="4">
        <v>3</v>
      </c>
    </row>
    <row r="17" ht="66" customHeight="1">
      <c r="A17" s="4" t="inlineStr">
        <is>
          <t xml:space="preserve">PurpleMoonBetta</t>
        </is>
      </c>
      <c r="B17" s="3">
        <f>IMAGE("https://pub-590970a58ce5426989b3bcd2897271b4.r2.dev/sheet-images/fish/purple-moon-betta.png?v=f988dcb3")</f>
      </c>
      <c r="C17" s="3" t="inlineStr">
        <is>
          <t xml:space="preserve">Betta Trăng Tím</t>
        </is>
      </c>
      <c r="D17" s="4" t="inlineStr">
        <is>
          <t xml:space="preserve">MeshyColour</t>
        </is>
      </c>
      <c r="E17" s="4" t="inlineStr">
        <is>
          <t xml:space="preserve"/>
        </is>
      </c>
      <c r="F17" s="4" t="inlineStr">
        <is>
          <t xml:space="preserve"/>
        </is>
      </c>
      <c r="G17" s="4" t="inlineStr">
        <is>
          <t xml:space="preserve"/>
        </is>
      </c>
      <c r="H17" s="4" t="inlineStr">
        <is>
          <t xml:space="preserve"/>
        </is>
      </c>
      <c r="I17" s="4" t="inlineStr">
        <is>
          <t xml:space="preserve"/>
        </is>
      </c>
    </row>
    <row r="18" ht="66" customHeight="1">
      <c r="A18" s="4" t="inlineStr">
        <is>
          <t xml:space="preserve">PurpleRubyBetta</t>
        </is>
      </c>
      <c r="B18" s="3">
        <f>IMAGE("https://pub-590970a58ce5426989b3bcd2897271b4.r2.dev/sheet-images/fish/purple-ruby-betta.png?v=8b2a77a6")</f>
      </c>
      <c r="C18" s="3" t="inlineStr">
        <is>
          <t xml:space="preserve">Betta Hồng Ngọc Tím</t>
        </is>
      </c>
      <c r="D18" s="4" t="inlineStr">
        <is>
          <t xml:space="preserve">MeshyColour</t>
        </is>
      </c>
      <c r="E18" s="4" t="inlineStr">
        <is>
          <t xml:space="preserve"/>
        </is>
      </c>
      <c r="F18" s="4" t="inlineStr">
        <is>
          <t xml:space="preserve"/>
        </is>
      </c>
      <c r="G18" s="4" t="inlineStr">
        <is>
          <t xml:space="preserve"/>
        </is>
      </c>
      <c r="H18" s="4" t="inlineStr">
        <is>
          <t xml:space="preserve"/>
        </is>
      </c>
      <c r="I18" s="4" t="inlineStr">
        <is>
          <t xml:space="preserve"/>
        </is>
      </c>
    </row>
    <row r="19" ht="66" customHeight="1">
      <c r="A19" s="4" t="inlineStr">
        <is>
          <t xml:space="preserve">RedSteelBetta</t>
        </is>
      </c>
      <c r="B19" s="3">
        <f>IMAGE("https://pub-590970a58ce5426989b3bcd2897271b4.r2.dev/sheet-images/fish/red-steel-betta.png?v=e29f7895")</f>
      </c>
      <c r="C19" s="3" t="inlineStr">
        <is>
          <t xml:space="preserve">Red Steel Betta</t>
        </is>
      </c>
      <c r="D19" s="4" t="inlineStr">
        <is>
          <t xml:space="preserve">MeshyColour</t>
        </is>
      </c>
      <c r="E19" s="4" t="inlineStr">
        <is>
          <t xml:space="preserve"/>
        </is>
      </c>
      <c r="F19" s="4" t="inlineStr">
        <is>
          <t xml:space="preserve"/>
        </is>
      </c>
      <c r="G19" s="4" t="inlineStr">
        <is>
          <t xml:space="preserve"/>
        </is>
      </c>
      <c r="H19" s="4" t="inlineStr">
        <is>
          <t xml:space="preserve"/>
        </is>
      </c>
      <c r="I19" s="4" t="inlineStr">
        <is>
          <t xml:space="preserve"/>
        </is>
      </c>
    </row>
    <row r="20" ht="66" customHeight="1">
      <c r="A20" s="4" t="inlineStr">
        <is>
          <t xml:space="preserve">RoyalKoiBetta</t>
        </is>
      </c>
      <c r="B20" s="3">
        <f>IMAGE("https://pub-590970a58ce5426989b3bcd2897271b4.r2.dev/sheet-images/fish/royal-koi-betta.png?v=413784be")</f>
      </c>
      <c r="C20" s="3" t="inlineStr">
        <is>
          <t xml:space="preserve">Royal Koi</t>
        </is>
      </c>
      <c r="D20" s="4" t="inlineStr">
        <is>
          <t xml:space="preserve">MeshyColour</t>
        </is>
      </c>
      <c r="E20" s="4" t="inlineStr">
        <is>
          <t xml:space="preserve"/>
        </is>
      </c>
      <c r="F20" s="4" t="inlineStr">
        <is>
          <t xml:space="preserve"/>
        </is>
      </c>
      <c r="G20" s="4" t="inlineStr">
        <is>
          <t xml:space="preserve"/>
        </is>
      </c>
      <c r="H20" s="4" t="inlineStr">
        <is>
          <t xml:space="preserve"/>
        </is>
      </c>
      <c r="I20" s="4" t="inlineStr">
        <is>
          <t xml:space="preserve"/>
        </is>
      </c>
    </row>
    <row r="21" ht="66" customHeight="1">
      <c r="A21" s="4" t="inlineStr">
        <is>
          <t xml:space="preserve">SkyKoiBetta</t>
        </is>
      </c>
      <c r="B21" s="3">
        <f>IMAGE("https://pub-590970a58ce5426989b3bcd2897271b4.r2.dev/sheet-images/fish/sky-koi-betta.png?v=974c7f77")</f>
      </c>
      <c r="C21" s="3" t="inlineStr">
        <is>
          <t xml:space="preserve">Sky Koi Betta</t>
        </is>
      </c>
      <c r="D21" s="4" t="inlineStr">
        <is>
          <t xml:space="preserve">MeshyColour</t>
        </is>
      </c>
      <c r="E21" s="4" t="inlineStr">
        <is>
          <t xml:space="preserve"/>
        </is>
      </c>
      <c r="F21" s="4" t="inlineStr">
        <is>
          <t xml:space="preserve"/>
        </is>
      </c>
      <c r="G21" s="4" t="inlineStr">
        <is>
          <t xml:space="preserve"/>
        </is>
      </c>
      <c r="H21" s="4" t="inlineStr">
        <is>
          <t xml:space="preserve"/>
        </is>
      </c>
      <c r="I21" s="4" t="inlineStr">
        <is>
          <t xml:space="preserve"/>
        </is>
      </c>
    </row>
    <row r="22" ht="66" customHeight="1">
      <c r="A22" s="4" t="inlineStr">
        <is>
          <t xml:space="preserve">SkyKoiBettaM4</t>
        </is>
      </c>
      <c r="B22" s="3">
        <f>IMAGE("https://pub-590970a58ce5426989b3bcd2897271b4.r2.dev/sheet-images/fish/sky-koi-betta-m4.png?v=099e8b9d")</f>
      </c>
      <c r="C22" s="3" t="inlineStr">
        <is>
          <t xml:space="preserve">Sky Koi Betta M4</t>
        </is>
      </c>
      <c r="D22" s="4" t="inlineStr">
        <is>
          <t xml:space="preserve">MeshyColour</t>
        </is>
      </c>
      <c r="E22" s="4" t="inlineStr">
        <is>
          <t xml:space="preserve"/>
        </is>
      </c>
      <c r="F22" s="4" t="inlineStr">
        <is>
          <t xml:space="preserve"/>
        </is>
      </c>
      <c r="G22" s="4" t="inlineStr">
        <is>
          <t xml:space="preserve"/>
        </is>
      </c>
      <c r="H22" s="4" t="inlineStr">
        <is>
          <t xml:space="preserve"/>
        </is>
      </c>
      <c r="I22" s="4" t="inlineStr">
        <is>
          <t xml:space="preserve"/>
        </is>
      </c>
    </row>
    <row r="23" ht="66" customHeight="1">
      <c r="A23" s="4" t="inlineStr">
        <is>
          <t xml:space="preserve">TealWhiteBetta</t>
        </is>
      </c>
      <c r="B23" s="3">
        <f>IMAGE("https://pub-590970a58ce5426989b3bcd2897271b4.r2.dev/sheet-images/fish/teal-white-betta.png?v=a25361f1")</f>
      </c>
      <c r="C23" s="3" t="inlineStr">
        <is>
          <t xml:space="preserve">Betta Trắng Ngọc Lam</t>
        </is>
      </c>
      <c r="D23" s="4" t="inlineStr">
        <is>
          <t xml:space="preserve">MeshyColour</t>
        </is>
      </c>
      <c r="E23" s="4" t="inlineStr">
        <is>
          <t xml:space="preserve"/>
        </is>
      </c>
      <c r="F23" s="4" t="inlineStr">
        <is>
          <t xml:space="preserve"/>
        </is>
      </c>
      <c r="G23" s="4" t="inlineStr">
        <is>
          <t xml:space="preserve"/>
        </is>
      </c>
      <c r="H23" s="4" t="inlineStr">
        <is>
          <t xml:space="preserve"/>
        </is>
      </c>
      <c r="I23" s="4" t="inlineStr">
        <is>
          <t xml:space="preserve"/>
        </is>
      </c>
    </row>
    <row r="24" ht="66" customHeight="1">
      <c r="A24" s="4" t="inlineStr">
        <is>
          <t xml:space="preserve">YellowKoiBetta</t>
        </is>
      </c>
      <c r="B24" s="3">
        <f>IMAGE("https://pub-590970a58ce5426989b3bcd2897271b4.r2.dev/sheet-images/fish/yellow-koi-betta.png?v=c8debce1")</f>
      </c>
      <c r="C24" s="3" t="inlineStr">
        <is>
          <t xml:space="preserve">Betta Koi Vàng</t>
        </is>
      </c>
      <c r="D24" s="4" t="inlineStr">
        <is>
          <t xml:space="preserve">MeshyColour</t>
        </is>
      </c>
      <c r="E24" s="4" t="inlineStr">
        <is>
          <t xml:space="preserve"/>
        </is>
      </c>
      <c r="F24" s="4" t="inlineStr">
        <is>
          <t xml:space="preserve"/>
        </is>
      </c>
      <c r="G24" s="4" t="inlineStr">
        <is>
          <t xml:space="preserve"/>
        </is>
      </c>
      <c r="H24" s="4" t="inlineStr">
        <is>
          <t xml:space="preserve"/>
        </is>
      </c>
      <c r="I24" s="4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xSplit="3" ySplit="1" topLeftCell="D2" activePane="bottomRigh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</cols>
  <sheetData>
    <row r="1">
      <c r="A1" s="1" t="inlineStr">
        <is>
          <t xml:space="preserve">cá</t>
        </is>
      </c>
      <c r="B1" s="2" t="inlineStr">
        <is>
          <t xml:space="preserve">ảnh</t>
        </is>
      </c>
      <c r="C1" s="2" t="inlineStr">
        <is>
          <t xml:space="preserve">tên</t>
        </is>
      </c>
      <c r="D1" s="1" t="inlineStr">
        <is>
          <t xml:space="preserve">primary</t>
        </is>
      </c>
      <c r="E1" s="1" t="inlineStr">
        <is>
          <t xml:space="preserve">secondary</t>
        </is>
      </c>
      <c r="F1" s="1" t="inlineStr">
        <is>
          <t xml:space="preserve">accent</t>
        </is>
      </c>
      <c r="G1" s="1" t="inlineStr">
        <is>
          <t xml:space="preserve">finEdge</t>
        </is>
      </c>
      <c r="H1" s="1" t="inlineStr">
        <is>
          <t xml:space="preserve">scaleEdgeDark</t>
        </is>
      </c>
      <c r="I1" s="1" t="inlineStr">
        <is>
          <t xml:space="preserve">scaleEdgeLight</t>
        </is>
      </c>
    </row>
    <row r="2" ht="66" customHeight="1">
      <c r="A2" s="3" t="inlineStr">
        <is>
          <t xml:space="preserve">(mặc định)</t>
        </is>
      </c>
      <c r="B2" s="3" t="inlineStr">
        <is>
          <t xml:space="preserve"/>
        </is>
      </c>
      <c r="C2" s="3" t="inlineStr">
        <is>
          <t xml:space="preserve"/>
        </is>
      </c>
      <c r="D2" s="5" t="inlineStr">
        <is>
          <t xml:space="preserve">#1F4FD1</t>
        </is>
      </c>
      <c r="E2" s="6" t="inlineStr">
        <is>
          <t xml:space="preserve">#F2F2F2</t>
        </is>
      </c>
      <c r="F2" s="7" t="inlineStr">
        <is>
          <t xml:space="preserve">#171717</t>
        </is>
      </c>
      <c r="G2" s="8" t="inlineStr">
        <is>
          <t xml:space="preserve">#FFD133</t>
        </is>
      </c>
      <c r="H2" s="9" t="inlineStr">
        <is>
          <t xml:space="preserve">#9E6B38</t>
        </is>
      </c>
      <c r="I2" s="10" t="inlineStr">
        <is>
          <t xml:space="preserve">#80808C</t>
        </is>
      </c>
    </row>
    <row r="3" ht="66" customHeight="1">
      <c r="A3" s="4" t="inlineStr">
        <is>
          <t xml:space="preserve">mẫu: MeshyColour</t>
        </is>
      </c>
      <c r="B3" s="3" t="inlineStr">
        <is>
          <t xml:space="preserve"/>
        </is>
      </c>
      <c r="C3" s="3" t="inlineStr">
        <is>
          <t xml:space="preserve"/>
        </is>
      </c>
      <c r="D3" s="11" t="inlineStr">
        <is>
          <t xml:space="preserve">#FFFFFF</t>
        </is>
      </c>
      <c r="E3" s="12" t="inlineStr">
        <is>
          <t xml:space="preserve">#38393D</t>
        </is>
      </c>
      <c r="F3" s="13" t="inlineStr">
        <is>
          <t xml:space="preserve">#FF0808</t>
        </is>
      </c>
      <c r="G3" s="14" t="inlineStr">
        <is>
          <t xml:space="preserve">#FFA80A</t>
        </is>
      </c>
      <c r="H3" s="9" t="inlineStr">
        <is>
          <t xml:space="preserve">#9E6B38</t>
        </is>
      </c>
      <c r="I3" s="15" t="inlineStr">
        <is>
          <t xml:space="preserve">#4C4C54</t>
        </is>
      </c>
    </row>
    <row r="4" ht="66" customHeight="1">
      <c r="A4" s="4" t="inlineStr">
        <is>
          <t xml:space="preserve">BlackSamuraiBetta</t>
        </is>
      </c>
      <c r="B4" s="3">
        <f>IMAGE("https://pub-590970a58ce5426989b3bcd2897271b4.r2.dev/sheet-images/fish/black-samurai-betta.png?v=43252278")</f>
      </c>
      <c r="C4" s="3" t="inlineStr">
        <is>
          <t xml:space="preserve">Betta Samurai Đen</t>
        </is>
      </c>
      <c r="D4" s="4" t="inlineStr">
        <is>
          <t xml:space="preserve"/>
        </is>
      </c>
      <c r="E4" s="4" t="inlineStr">
        <is>
          <t xml:space="preserve"/>
        </is>
      </c>
      <c r="F4" s="4" t="inlineStr">
        <is>
          <t xml:space="preserve"/>
        </is>
      </c>
      <c r="G4" s="4" t="inlineStr">
        <is>
          <t xml:space="preserve"/>
        </is>
      </c>
      <c r="H4" s="4" t="inlineStr">
        <is>
          <t xml:space="preserve"/>
        </is>
      </c>
      <c r="I4" s="4" t="inlineStr">
        <is>
          <t xml:space="preserve"/>
        </is>
      </c>
    </row>
    <row r="5" ht="66" customHeight="1">
      <c r="A5" s="4" t="inlineStr">
        <is>
          <t xml:space="preserve">BlueFlameBetta</t>
        </is>
      </c>
      <c r="B5" s="3">
        <f>IMAGE("https://pub-590970a58ce5426989b3bcd2897271b4.r2.dev/sheet-images/fish/blue-flame-betta.png?v=9950f4a4")</f>
      </c>
      <c r="C5" s="3" t="inlineStr">
        <is>
          <t xml:space="preserve">Blue Flame Betta</t>
        </is>
      </c>
      <c r="D5" s="4" t="inlineStr">
        <is>
          <t xml:space="preserve"/>
        </is>
      </c>
      <c r="E5" s="4" t="inlineStr">
        <is>
          <t xml:space="preserve"/>
        </is>
      </c>
      <c r="F5" s="4" t="inlineStr">
        <is>
          <t xml:space="preserve"/>
        </is>
      </c>
      <c r="G5" s="4" t="inlineStr">
        <is>
          <t xml:space="preserve"/>
        </is>
      </c>
      <c r="H5" s="4" t="inlineStr">
        <is>
          <t xml:space="preserve"/>
        </is>
      </c>
      <c r="I5" s="4" t="inlineStr">
        <is>
          <t xml:space="preserve"/>
        </is>
      </c>
    </row>
    <row r="6" ht="66" customHeight="1">
      <c r="A6" s="4" t="inlineStr">
        <is>
          <t xml:space="preserve">BluePandaBetta</t>
        </is>
      </c>
      <c r="B6" s="3">
        <f>IMAGE("https://pub-590970a58ce5426989b3bcd2897271b4.r2.dev/sheet-images/fish/blue-panda-betta.png?v=1cbc3e15")</f>
      </c>
      <c r="C6" s="3" t="inlineStr">
        <is>
          <t xml:space="preserve">Betta Gấu Trúc Xanh</t>
        </is>
      </c>
      <c r="D6" s="4" t="inlineStr">
        <is>
          <t xml:space="preserve"/>
        </is>
      </c>
      <c r="E6" s="4" t="inlineStr">
        <is>
          <t xml:space="preserve"/>
        </is>
      </c>
      <c r="F6" s="4" t="inlineStr">
        <is>
          <t xml:space="preserve"/>
        </is>
      </c>
      <c r="G6" s="4" t="inlineStr">
        <is>
          <t xml:space="preserve"/>
        </is>
      </c>
      <c r="H6" s="4" t="inlineStr">
        <is>
          <t xml:space="preserve"/>
        </is>
      </c>
      <c r="I6" s="4" t="inlineStr">
        <is>
          <t xml:space="preserve"/>
        </is>
      </c>
    </row>
    <row r="7" ht="66" customHeight="1">
      <c r="A7" s="4" t="inlineStr">
        <is>
          <t xml:space="preserve">BlueWildBetta</t>
        </is>
      </c>
      <c r="B7" s="3">
        <f>IMAGE("https://pub-590970a58ce5426989b3bcd2897271b4.r2.dev/sheet-images/fish/blue-wild-betta.png?v=e36e243b")</f>
      </c>
      <c r="C7" s="3" t="inlineStr">
        <is>
          <t xml:space="preserve">Betta Rồng Xanh</t>
        </is>
      </c>
      <c r="D7" s="4" t="inlineStr">
        <is>
          <t xml:space="preserve"/>
        </is>
      </c>
      <c r="E7" s="4" t="inlineStr">
        <is>
          <t xml:space="preserve"/>
        </is>
      </c>
      <c r="F7" s="4" t="inlineStr">
        <is>
          <t xml:space="preserve"/>
        </is>
      </c>
      <c r="G7" s="4" t="inlineStr">
        <is>
          <t xml:space="preserve"/>
        </is>
      </c>
      <c r="H7" s="4" t="inlineStr">
        <is>
          <t xml:space="preserve"/>
        </is>
      </c>
      <c r="I7" s="4" t="inlineStr">
        <is>
          <t xml:space="preserve"/>
        </is>
      </c>
    </row>
    <row r="8" ht="66" customHeight="1">
      <c r="A8" s="4" t="inlineStr">
        <is>
          <t xml:space="preserve">ColorfulBetta</t>
        </is>
      </c>
      <c r="B8" s="3">
        <f>IMAGE("https://pub-590970a58ce5426989b3bcd2897271b4.r2.dev/sheet-images/fish/colorful-betta.png?v=5cc1541c")</f>
      </c>
      <c r="C8" s="3" t="inlineStr">
        <is>
          <t xml:space="preserve">Colorful Betta</t>
        </is>
      </c>
      <c r="D8" s="4" t="inlineStr">
        <is>
          <t xml:space="preserve"/>
        </is>
      </c>
      <c r="E8" s="4" t="inlineStr">
        <is>
          <t xml:space="preserve"/>
        </is>
      </c>
      <c r="F8" s="4" t="inlineStr">
        <is>
          <t xml:space="preserve"/>
        </is>
      </c>
      <c r="G8" s="4" t="inlineStr">
        <is>
          <t xml:space="preserve"/>
        </is>
      </c>
      <c r="H8" s="4" t="inlineStr">
        <is>
          <t xml:space="preserve"/>
        </is>
      </c>
      <c r="I8" s="4" t="inlineStr">
        <is>
          <t xml:space="preserve"/>
        </is>
      </c>
    </row>
    <row r="9" ht="66" customHeight="1">
      <c r="A9" s="4" t="inlineStr">
        <is>
          <t xml:space="preserve">EmeraldRedBetta</t>
        </is>
      </c>
      <c r="B9" s="3">
        <f>IMAGE("https://pub-590970a58ce5426989b3bcd2897271b4.r2.dev/sheet-images/fish/emerald-red-betta.png?v=c2d27f6b")</f>
      </c>
      <c r="C9" s="3" t="inlineStr">
        <is>
          <t xml:space="preserve">Betta Lục Bảo Đỏ</t>
        </is>
      </c>
      <c r="D9" s="4" t="inlineStr">
        <is>
          <t xml:space="preserve"/>
        </is>
      </c>
      <c r="E9" s="4" t="inlineStr">
        <is>
          <t xml:space="preserve"/>
        </is>
      </c>
      <c r="F9" s="4" t="inlineStr">
        <is>
          <t xml:space="preserve"/>
        </is>
      </c>
      <c r="G9" s="4" t="inlineStr">
        <is>
          <t xml:space="preserve"/>
        </is>
      </c>
      <c r="H9" s="4" t="inlineStr">
        <is>
          <t xml:space="preserve"/>
        </is>
      </c>
      <c r="I9" s="4" t="inlineStr">
        <is>
          <t xml:space="preserve"/>
        </is>
      </c>
    </row>
    <row r="10" ht="66" customHeight="1">
      <c r="A10" s="4" t="inlineStr">
        <is>
          <t xml:space="preserve">GalaxyBetta</t>
        </is>
      </c>
      <c r="B10" s="3">
        <f>IMAGE("https://pub-590970a58ce5426989b3bcd2897271b4.r2.dev/sheet-images/fish/galaxy-betta.png?v=ab617dcf")</f>
      </c>
      <c r="C10" s="3" t="inlineStr">
        <is>
          <t xml:space="preserve">Galaxy Betta</t>
        </is>
      </c>
      <c r="D10" s="4" t="inlineStr">
        <is>
          <t xml:space="preserve"/>
        </is>
      </c>
      <c r="E10" s="4" t="inlineStr">
        <is>
          <t xml:space="preserve"/>
        </is>
      </c>
      <c r="F10" s="4" t="inlineStr">
        <is>
          <t xml:space="preserve"/>
        </is>
      </c>
      <c r="G10" s="4" t="inlineStr">
        <is>
          <t xml:space="preserve"/>
        </is>
      </c>
      <c r="H10" s="4" t="inlineStr">
        <is>
          <t xml:space="preserve"/>
        </is>
      </c>
      <c r="I10" s="4" t="inlineStr">
        <is>
          <t xml:space="preserve"/>
        </is>
      </c>
    </row>
    <row r="11" ht="66" customHeight="1">
      <c r="A11" s="4" t="inlineStr">
        <is>
          <t xml:space="preserve">GoldTigerBetta</t>
        </is>
      </c>
      <c r="B11" s="3">
        <f>IMAGE("https://pub-590970a58ce5426989b3bcd2897271b4.r2.dev/sheet-images/fish/gold-tiger-betta.png?v=b85cc880")</f>
      </c>
      <c r="C11" s="3" t="inlineStr">
        <is>
          <t xml:space="preserve">Betta Hổ Vàng</t>
        </is>
      </c>
      <c r="D11" s="4" t="inlineStr">
        <is>
          <t xml:space="preserve"/>
        </is>
      </c>
      <c r="E11" s="4" t="inlineStr">
        <is>
          <t xml:space="preserve"/>
        </is>
      </c>
      <c r="F11" s="4" t="inlineStr">
        <is>
          <t xml:space="preserve"/>
        </is>
      </c>
      <c r="G11" s="4" t="inlineStr">
        <is>
          <t xml:space="preserve"/>
        </is>
      </c>
      <c r="H11" s="4" t="inlineStr">
        <is>
          <t xml:space="preserve"/>
        </is>
      </c>
      <c r="I11" s="4" t="inlineStr">
        <is>
          <t xml:space="preserve"/>
        </is>
      </c>
    </row>
    <row r="12" ht="66" customHeight="1">
      <c r="A12" s="4" t="inlineStr">
        <is>
          <t xml:space="preserve">KoiBetta</t>
        </is>
      </c>
      <c r="B12" s="3">
        <f>IMAGE("https://pub-590970a58ce5426989b3bcd2897271b4.r2.dev/sheet-images/fish/koi-betta.png?v=798a58a8")</f>
      </c>
      <c r="C12" s="3" t="inlineStr">
        <is>
          <t xml:space="preserve">Koi Betta</t>
        </is>
      </c>
      <c r="D12" s="4" t="inlineStr">
        <is>
          <t xml:space="preserve"/>
        </is>
      </c>
      <c r="E12" s="4" t="inlineStr">
        <is>
          <t xml:space="preserve"/>
        </is>
      </c>
      <c r="F12" s="4" t="inlineStr">
        <is>
          <t xml:space="preserve"/>
        </is>
      </c>
      <c r="G12" s="4" t="inlineStr">
        <is>
          <t xml:space="preserve"/>
        </is>
      </c>
      <c r="H12" s="4" t="inlineStr">
        <is>
          <t xml:space="preserve"/>
        </is>
      </c>
      <c r="I12" s="4" t="inlineStr">
        <is>
          <t xml:space="preserve"/>
        </is>
      </c>
    </row>
    <row r="13" ht="66" customHeight="1">
      <c r="A13" s="4" t="inlineStr">
        <is>
          <t xml:space="preserve">KoiNemoRig</t>
        </is>
      </c>
      <c r="B13" s="3">
        <f>IMAGE("https://pub-590970a58ce5426989b3bcd2897271b4.r2.dev/sheet-images/fish/koi-nemo.png?v=f57fa2a7")</f>
      </c>
      <c r="C13" s="3" t="inlineStr">
        <is>
          <t xml:space="preserve">Koi Nemo Betta</t>
        </is>
      </c>
      <c r="D13" s="5" t="inlineStr">
        <is>
          <t xml:space="preserve">#1F4FD1</t>
        </is>
      </c>
      <c r="E13" s="11" t="inlineStr">
        <is>
          <t xml:space="preserve">#FFFFFF</t>
        </is>
      </c>
      <c r="F13" s="7" t="inlineStr">
        <is>
          <t xml:space="preserve">#171717</t>
        </is>
      </c>
      <c r="G13" s="8" t="inlineStr">
        <is>
          <t xml:space="preserve">#FFD133</t>
        </is>
      </c>
      <c r="H13" s="4" t="inlineStr">
        <is>
          <t xml:space="preserve"/>
        </is>
      </c>
      <c r="I13" s="4" t="inlineStr">
        <is>
          <t xml:space="preserve"/>
        </is>
      </c>
    </row>
    <row r="14" ht="66" customHeight="1">
      <c r="A14" s="4" t="inlineStr">
        <is>
          <t xml:space="preserve">NemoKoiBetta</t>
        </is>
      </c>
      <c r="B14" s="3">
        <f>IMAGE("https://pub-590970a58ce5426989b3bcd2897271b4.r2.dev/sheet-images/fish/nemo-koi-betta.png?v=0a139958")</f>
      </c>
      <c r="C14" s="3" t="inlineStr">
        <is>
          <t xml:space="preserve">Nemo Koi Betta</t>
        </is>
      </c>
      <c r="D14" s="4" t="inlineStr">
        <is>
          <t xml:space="preserve"/>
        </is>
      </c>
      <c r="E14" s="4" t="inlineStr">
        <is>
          <t xml:space="preserve"/>
        </is>
      </c>
      <c r="F14" s="4" t="inlineStr">
        <is>
          <t xml:space="preserve"/>
        </is>
      </c>
      <c r="G14" s="4" t="inlineStr">
        <is>
          <t xml:space="preserve"/>
        </is>
      </c>
      <c r="H14" s="4" t="inlineStr">
        <is>
          <t xml:space="preserve"/>
        </is>
      </c>
      <c r="I14" s="4" t="inlineStr">
        <is>
          <t xml:space="preserve"/>
        </is>
      </c>
    </row>
    <row r="15" ht="66" customHeight="1">
      <c r="A15" s="4" t="inlineStr">
        <is>
          <t xml:space="preserve">Plakat</t>
        </is>
      </c>
      <c r="B15" s="3">
        <f>IMAGE("https://pub-590970a58ce5426989b3bcd2897271b4.r2.dev/sheet-images/fish/plakat.png?v=d3f82500")</f>
      </c>
      <c r="C15" s="3" t="inlineStr">
        <is>
          <t xml:space="preserve">Plakat Koi</t>
        </is>
      </c>
      <c r="D15" s="8" t="inlineStr">
        <is>
          <t xml:space="preserve">#FFD133</t>
        </is>
      </c>
      <c r="E15" s="7" t="inlineStr">
        <is>
          <t xml:space="preserve">#171717</t>
        </is>
      </c>
      <c r="F15" s="11" t="inlineStr">
        <is>
          <t xml:space="preserve">#FFFFFF</t>
        </is>
      </c>
      <c r="G15" s="8" t="inlineStr">
        <is>
          <t xml:space="preserve">#FFD133</t>
        </is>
      </c>
      <c r="H15" s="4" t="inlineStr">
        <is>
          <t xml:space="preserve"/>
        </is>
      </c>
      <c r="I15" s="4" t="inlineStr">
        <is>
          <t xml:space="preserve"/>
        </is>
      </c>
    </row>
    <row r="16" ht="66" customHeight="1">
      <c r="A16" s="4" t="inlineStr">
        <is>
          <t xml:space="preserve">PlakatGalaxy</t>
        </is>
      </c>
      <c r="B16" s="3">
        <f>IMAGE("https://pub-590970a58ce5426989b3bcd2897271b4.r2.dev/sheet-images/fish/plakat-galaxy.png?v=a66df8df")</f>
      </c>
      <c r="C16" s="3" t="inlineStr">
        <is>
          <t xml:space="preserve">Koi Galaxy Betta</t>
        </is>
      </c>
      <c r="D16" s="16" t="inlineStr">
        <is>
          <t xml:space="preserve">#E0E0E0</t>
        </is>
      </c>
      <c r="E16" s="12" t="inlineStr">
        <is>
          <t xml:space="preserve">#38393D</t>
        </is>
      </c>
      <c r="F16" s="13" t="inlineStr">
        <is>
          <t xml:space="preserve">#FF0808</t>
        </is>
      </c>
      <c r="G16" s="14" t="inlineStr">
        <is>
          <t xml:space="preserve">#FFA80A</t>
        </is>
      </c>
      <c r="H16" s="9" t="inlineStr">
        <is>
          <t xml:space="preserve">#9E6B38</t>
        </is>
      </c>
      <c r="I16" s="15" t="inlineStr">
        <is>
          <t xml:space="preserve">#4C4C54</t>
        </is>
      </c>
    </row>
    <row r="17" ht="66" customHeight="1">
      <c r="A17" s="4" t="inlineStr">
        <is>
          <t xml:space="preserve">PurpleMoonBetta</t>
        </is>
      </c>
      <c r="B17" s="3">
        <f>IMAGE("https://pub-590970a58ce5426989b3bcd2897271b4.r2.dev/sheet-images/fish/purple-moon-betta.png?v=f988dcb3")</f>
      </c>
      <c r="C17" s="3" t="inlineStr">
        <is>
          <t xml:space="preserve">Betta Trăng Tím</t>
        </is>
      </c>
      <c r="D17" s="4" t="inlineStr">
        <is>
          <t xml:space="preserve"/>
        </is>
      </c>
      <c r="E17" s="4" t="inlineStr">
        <is>
          <t xml:space="preserve"/>
        </is>
      </c>
      <c r="F17" s="4" t="inlineStr">
        <is>
          <t xml:space="preserve"/>
        </is>
      </c>
      <c r="G17" s="4" t="inlineStr">
        <is>
          <t xml:space="preserve"/>
        </is>
      </c>
      <c r="H17" s="4" t="inlineStr">
        <is>
          <t xml:space="preserve"/>
        </is>
      </c>
      <c r="I17" s="4" t="inlineStr">
        <is>
          <t xml:space="preserve"/>
        </is>
      </c>
    </row>
    <row r="18" ht="66" customHeight="1">
      <c r="A18" s="4" t="inlineStr">
        <is>
          <t xml:space="preserve">PurpleRubyBetta</t>
        </is>
      </c>
      <c r="B18" s="3">
        <f>IMAGE("https://pub-590970a58ce5426989b3bcd2897271b4.r2.dev/sheet-images/fish/purple-ruby-betta.png?v=8b2a77a6")</f>
      </c>
      <c r="C18" s="3" t="inlineStr">
        <is>
          <t xml:space="preserve">Betta Hồng Ngọc Tím</t>
        </is>
      </c>
      <c r="D18" s="4" t="inlineStr">
        <is>
          <t xml:space="preserve"/>
        </is>
      </c>
      <c r="E18" s="4" t="inlineStr">
        <is>
          <t xml:space="preserve"/>
        </is>
      </c>
      <c r="F18" s="4" t="inlineStr">
        <is>
          <t xml:space="preserve"/>
        </is>
      </c>
      <c r="G18" s="4" t="inlineStr">
        <is>
          <t xml:space="preserve"/>
        </is>
      </c>
      <c r="H18" s="4" t="inlineStr">
        <is>
          <t xml:space="preserve"/>
        </is>
      </c>
      <c r="I18" s="4" t="inlineStr">
        <is>
          <t xml:space="preserve"/>
        </is>
      </c>
    </row>
    <row r="19" ht="66" customHeight="1">
      <c r="A19" s="4" t="inlineStr">
        <is>
          <t xml:space="preserve">RedSteelBetta</t>
        </is>
      </c>
      <c r="B19" s="3">
        <f>IMAGE("https://pub-590970a58ce5426989b3bcd2897271b4.r2.dev/sheet-images/fish/red-steel-betta.png?v=e29f7895")</f>
      </c>
      <c r="C19" s="3" t="inlineStr">
        <is>
          <t xml:space="preserve">Red Steel Betta</t>
        </is>
      </c>
      <c r="D19" s="4" t="inlineStr">
        <is>
          <t xml:space="preserve"/>
        </is>
      </c>
      <c r="E19" s="4" t="inlineStr">
        <is>
          <t xml:space="preserve"/>
        </is>
      </c>
      <c r="F19" s="4" t="inlineStr">
        <is>
          <t xml:space="preserve"/>
        </is>
      </c>
      <c r="G19" s="4" t="inlineStr">
        <is>
          <t xml:space="preserve"/>
        </is>
      </c>
      <c r="H19" s="4" t="inlineStr">
        <is>
          <t xml:space="preserve"/>
        </is>
      </c>
      <c r="I19" s="4" t="inlineStr">
        <is>
          <t xml:space="preserve"/>
        </is>
      </c>
    </row>
    <row r="20" ht="66" customHeight="1">
      <c r="A20" s="4" t="inlineStr">
        <is>
          <t xml:space="preserve">RoyalKoiBetta</t>
        </is>
      </c>
      <c r="B20" s="3">
        <f>IMAGE("https://pub-590970a58ce5426989b3bcd2897271b4.r2.dev/sheet-images/fish/royal-koi-betta.png?v=413784be")</f>
      </c>
      <c r="C20" s="3" t="inlineStr">
        <is>
          <t xml:space="preserve">Royal Koi</t>
        </is>
      </c>
      <c r="D20" s="4" t="inlineStr">
        <is>
          <t xml:space="preserve"/>
        </is>
      </c>
      <c r="E20" s="4" t="inlineStr">
        <is>
          <t xml:space="preserve"/>
        </is>
      </c>
      <c r="F20" s="4" t="inlineStr">
        <is>
          <t xml:space="preserve"/>
        </is>
      </c>
      <c r="G20" s="4" t="inlineStr">
        <is>
          <t xml:space="preserve"/>
        </is>
      </c>
      <c r="H20" s="4" t="inlineStr">
        <is>
          <t xml:space="preserve"/>
        </is>
      </c>
      <c r="I20" s="4" t="inlineStr">
        <is>
          <t xml:space="preserve"/>
        </is>
      </c>
    </row>
    <row r="21" ht="66" customHeight="1">
      <c r="A21" s="4" t="inlineStr">
        <is>
          <t xml:space="preserve">SkyKoiBetta</t>
        </is>
      </c>
      <c r="B21" s="3">
        <f>IMAGE("https://pub-590970a58ce5426989b3bcd2897271b4.r2.dev/sheet-images/fish/sky-koi-betta.png?v=974c7f77")</f>
      </c>
      <c r="C21" s="3" t="inlineStr">
        <is>
          <t xml:space="preserve">Sky Koi Betta</t>
        </is>
      </c>
      <c r="D21" s="4" t="inlineStr">
        <is>
          <t xml:space="preserve"/>
        </is>
      </c>
      <c r="E21" s="4" t="inlineStr">
        <is>
          <t xml:space="preserve"/>
        </is>
      </c>
      <c r="F21" s="4" t="inlineStr">
        <is>
          <t xml:space="preserve"/>
        </is>
      </c>
      <c r="G21" s="4" t="inlineStr">
        <is>
          <t xml:space="preserve"/>
        </is>
      </c>
      <c r="H21" s="4" t="inlineStr">
        <is>
          <t xml:space="preserve"/>
        </is>
      </c>
      <c r="I21" s="4" t="inlineStr">
        <is>
          <t xml:space="preserve"/>
        </is>
      </c>
    </row>
    <row r="22" ht="66" customHeight="1">
      <c r="A22" s="4" t="inlineStr">
        <is>
          <t xml:space="preserve">SkyKoiBettaM4</t>
        </is>
      </c>
      <c r="B22" s="3">
        <f>IMAGE("https://pub-590970a58ce5426989b3bcd2897271b4.r2.dev/sheet-images/fish/sky-koi-betta-m4.png?v=099e8b9d")</f>
      </c>
      <c r="C22" s="3" t="inlineStr">
        <is>
          <t xml:space="preserve">Sky Koi Betta M4</t>
        </is>
      </c>
      <c r="D22" s="4" t="inlineStr">
        <is>
          <t xml:space="preserve"/>
        </is>
      </c>
      <c r="E22" s="4" t="inlineStr">
        <is>
          <t xml:space="preserve"/>
        </is>
      </c>
      <c r="F22" s="4" t="inlineStr">
        <is>
          <t xml:space="preserve"/>
        </is>
      </c>
      <c r="G22" s="4" t="inlineStr">
        <is>
          <t xml:space="preserve"/>
        </is>
      </c>
      <c r="H22" s="4" t="inlineStr">
        <is>
          <t xml:space="preserve"/>
        </is>
      </c>
      <c r="I22" s="4" t="inlineStr">
        <is>
          <t xml:space="preserve"/>
        </is>
      </c>
    </row>
    <row r="23" ht="66" customHeight="1">
      <c r="A23" s="4" t="inlineStr">
        <is>
          <t xml:space="preserve">TealWhiteBetta</t>
        </is>
      </c>
      <c r="B23" s="3">
        <f>IMAGE("https://pub-590970a58ce5426989b3bcd2897271b4.r2.dev/sheet-images/fish/teal-white-betta.png?v=a25361f1")</f>
      </c>
      <c r="C23" s="3" t="inlineStr">
        <is>
          <t xml:space="preserve">Betta Trắng Ngọc Lam</t>
        </is>
      </c>
      <c r="D23" s="4" t="inlineStr">
        <is>
          <t xml:space="preserve"/>
        </is>
      </c>
      <c r="E23" s="4" t="inlineStr">
        <is>
          <t xml:space="preserve"/>
        </is>
      </c>
      <c r="F23" s="4" t="inlineStr">
        <is>
          <t xml:space="preserve"/>
        </is>
      </c>
      <c r="G23" s="4" t="inlineStr">
        <is>
          <t xml:space="preserve"/>
        </is>
      </c>
      <c r="H23" s="4" t="inlineStr">
        <is>
          <t xml:space="preserve"/>
        </is>
      </c>
      <c r="I23" s="4" t="inlineStr">
        <is>
          <t xml:space="preserve"/>
        </is>
      </c>
    </row>
    <row r="24" ht="66" customHeight="1">
      <c r="A24" s="4" t="inlineStr">
        <is>
          <t xml:space="preserve">YellowKoiBetta</t>
        </is>
      </c>
      <c r="B24" s="3">
        <f>IMAGE("https://pub-590970a58ce5426989b3bcd2897271b4.r2.dev/sheet-images/fish/yellow-koi-betta.png?v=c8debce1")</f>
      </c>
      <c r="C24" s="3" t="inlineStr">
        <is>
          <t xml:space="preserve">Betta Koi Vàng</t>
        </is>
      </c>
      <c r="D24" s="4" t="inlineStr">
        <is>
          <t xml:space="preserve"/>
        </is>
      </c>
      <c r="E24" s="4" t="inlineStr">
        <is>
          <t xml:space="preserve"/>
        </is>
      </c>
      <c r="F24" s="4" t="inlineStr">
        <is>
          <t xml:space="preserve"/>
        </is>
      </c>
      <c r="G24" s="4" t="inlineStr">
        <is>
          <t xml:space="preserve"/>
        </is>
      </c>
      <c r="H24" s="4" t="inlineStr">
        <is>
          <t xml:space="preserve"/>
        </is>
      </c>
      <c r="I24" s="4" t="inlineStr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xSplit="3" ySplit="1" topLeftCell="D2" activePane="bottomRigh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</cols>
  <sheetData>
    <row r="1">
      <c r="A1" s="1" t="inlineStr">
        <is>
          <t xml:space="preserve">cá</t>
        </is>
      </c>
      <c r="B1" s="2" t="inlineStr">
        <is>
          <t xml:space="preserve">ảnh</t>
        </is>
      </c>
      <c r="C1" s="2" t="inlineStr">
        <is>
          <t xml:space="preserve">tên</t>
        </is>
      </c>
      <c r="D1" s="1" t="inlineStr">
        <is>
          <t xml:space="preserve">iridescence</t>
        </is>
      </c>
      <c r="E1" s="1" t="inlineStr">
        <is>
          <t xml:space="preserve">textureDetail</t>
        </is>
      </c>
      <c r="F1" s="1" t="inlineStr">
        <is>
          <t xml:space="preserve">silverSheen</t>
        </is>
      </c>
      <c r="G1" s="1" t="inlineStr">
        <is>
          <t xml:space="preserve">gloss</t>
        </is>
      </c>
      <c r="H1" s="1" t="inlineStr">
        <is>
          <t xml:space="preserve">blackGloss</t>
        </is>
      </c>
      <c r="I1" s="1" t="inlineStr">
        <is>
          <t xml:space="preserve">whiteScales</t>
        </is>
      </c>
      <c r="J1" s="1" t="inlineStr">
        <is>
          <t xml:space="preserve">headPatch</t>
        </is>
      </c>
      <c r="K1" s="1" t="inlineStr">
        <is>
          <t xml:space="preserve">pigmentDepth</t>
        </is>
      </c>
      <c r="L1" s="1" t="inlineStr">
        <is>
          <t xml:space="preserve">scaleRelief</t>
        </is>
      </c>
      <c r="M1" s="1" t="inlineStr">
        <is>
          <t xml:space="preserve">scaleEdge</t>
        </is>
      </c>
      <c r="N1" s="1" t="inlineStr">
        <is>
          <t xml:space="preserve">scaleEdgeWidth</t>
        </is>
      </c>
      <c r="O1" s="1" t="inlineStr">
        <is>
          <t xml:space="preserve">vibrance</t>
        </is>
      </c>
      <c r="P1" s="1" t="inlineStr">
        <is>
          <t xml:space="preserve">brightness</t>
        </is>
      </c>
      <c r="Q1" s="1" t="inlineStr">
        <is>
          <t xml:space="preserve">envReflection</t>
        </is>
      </c>
      <c r="R1" s="1" t="inlineStr">
        <is>
          <t xml:space="preserve">baseTexture</t>
        </is>
      </c>
    </row>
    <row r="2" ht="66" customHeight="1">
      <c r="A2" s="3" t="inlineStr">
        <is>
          <t xml:space="preserve">(mặc định)</t>
        </is>
      </c>
      <c r="B2" s="3" t="inlineStr">
        <is>
          <t xml:space="preserve"/>
        </is>
      </c>
      <c r="C2" s="3" t="inlineStr">
        <is>
          <t xml:space="preserve"/>
        </is>
      </c>
      <c r="D2" s="3">
        <v>0.4</v>
      </c>
      <c r="E2" s="3">
        <v>0.6</v>
      </c>
      <c r="F2" s="3">
        <v>1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s="3">
        <v>1</v>
      </c>
      <c r="M2" s="3">
        <v>0</v>
      </c>
      <c r="N2" s="3">
        <v>0.5</v>
      </c>
      <c r="O2" s="3">
        <v>1</v>
      </c>
      <c r="P2" s="3">
        <v>1</v>
      </c>
      <c r="Q2" s="3">
        <v>1</v>
      </c>
      <c r="R2" s="3">
        <v>0</v>
      </c>
    </row>
    <row r="3" ht="66" customHeight="1">
      <c r="A3" s="4" t="inlineStr">
        <is>
          <t xml:space="preserve">mẫu: MeshyColour</t>
        </is>
      </c>
      <c r="B3" s="3" t="inlineStr">
        <is>
          <t xml:space="preserve"/>
        </is>
      </c>
      <c r="C3" s="3" t="inlineStr">
        <is>
          <t xml:space="preserve"/>
        </is>
      </c>
      <c r="D3" s="4">
        <v>0.1</v>
      </c>
      <c r="E3" s="4">
        <v>0.6</v>
      </c>
      <c r="F3" s="4">
        <v>1</v>
      </c>
      <c r="G3" s="4">
        <v>1</v>
      </c>
      <c r="H3" s="4">
        <v>0</v>
      </c>
      <c r="I3" s="4">
        <v>0</v>
      </c>
      <c r="J3" s="4" t="inlineStr">
        <is>
          <t xml:space="preserve"/>
        </is>
      </c>
      <c r="K3" s="4">
        <v>0</v>
      </c>
      <c r="L3" s="4">
        <v>0.55</v>
      </c>
      <c r="M3" s="4">
        <v>0</v>
      </c>
      <c r="N3" s="4">
        <v>0.35</v>
      </c>
      <c r="O3" s="4">
        <v>1.3</v>
      </c>
      <c r="P3" s="4">
        <v>1.2</v>
      </c>
      <c r="Q3" s="4">
        <v>0</v>
      </c>
      <c r="R3" s="4">
        <v>1</v>
      </c>
    </row>
    <row r="4" ht="66" customHeight="1">
      <c r="A4" s="4" t="inlineStr">
        <is>
          <t xml:space="preserve">BlackSamuraiBetta</t>
        </is>
      </c>
      <c r="B4" s="3">
        <f>IMAGE("https://pub-590970a58ce5426989b3bcd2897271b4.r2.dev/sheet-images/fish/black-samurai-betta.png?v=43252278")</f>
      </c>
      <c r="C4" s="3" t="inlineStr">
        <is>
          <t xml:space="preserve">Betta Samurai Đen</t>
        </is>
      </c>
      <c r="D4" s="4" t="inlineStr">
        <is>
          <t xml:space="preserve"/>
        </is>
      </c>
      <c r="E4" s="4" t="inlineStr">
        <is>
          <t xml:space="preserve"/>
        </is>
      </c>
      <c r="F4" s="4" t="inlineStr">
        <is>
          <t xml:space="preserve"/>
        </is>
      </c>
      <c r="G4" s="4" t="inlineStr">
        <is>
          <t xml:space="preserve"/>
        </is>
      </c>
      <c r="H4" s="4" t="inlineStr">
        <is>
          <t xml:space="preserve"/>
        </is>
      </c>
      <c r="I4" s="4" t="inlineStr">
        <is>
          <t xml:space="preserve"/>
        </is>
      </c>
      <c r="J4" s="4" t="inlineStr">
        <is>
          <t xml:space="preserve"/>
        </is>
      </c>
      <c r="K4" s="4" t="inlineStr">
        <is>
          <t xml:space="preserve"/>
        </is>
      </c>
      <c r="L4" s="4" t="inlineStr">
        <is>
          <t xml:space="preserve"/>
        </is>
      </c>
      <c r="M4" s="4" t="inlineStr">
        <is>
          <t xml:space="preserve"/>
        </is>
      </c>
      <c r="N4" s="4" t="inlineStr">
        <is>
          <t xml:space="preserve"/>
        </is>
      </c>
      <c r="O4" s="4" t="inlineStr">
        <is>
          <t xml:space="preserve"/>
        </is>
      </c>
      <c r="P4" s="4" t="inlineStr">
        <is>
          <t xml:space="preserve"/>
        </is>
      </c>
      <c r="Q4" s="4" t="inlineStr">
        <is>
          <t xml:space="preserve"/>
        </is>
      </c>
      <c r="R4" s="4" t="inlineStr">
        <is>
          <t xml:space="preserve"/>
        </is>
      </c>
    </row>
    <row r="5" ht="66" customHeight="1">
      <c r="A5" s="4" t="inlineStr">
        <is>
          <t xml:space="preserve">BlueFlameBetta</t>
        </is>
      </c>
      <c r="B5" s="3">
        <f>IMAGE("https://pub-590970a58ce5426989b3bcd2897271b4.r2.dev/sheet-images/fish/blue-flame-betta.png?v=9950f4a4")</f>
      </c>
      <c r="C5" s="3" t="inlineStr">
        <is>
          <t xml:space="preserve">Blue Flame Betta</t>
        </is>
      </c>
      <c r="D5" s="4" t="inlineStr">
        <is>
          <t xml:space="preserve"/>
        </is>
      </c>
      <c r="E5" s="4" t="inlineStr">
        <is>
          <t xml:space="preserve"/>
        </is>
      </c>
      <c r="F5" s="4" t="inlineStr">
        <is>
          <t xml:space="preserve"/>
        </is>
      </c>
      <c r="G5" s="4" t="inlineStr">
        <is>
          <t xml:space="preserve"/>
        </is>
      </c>
      <c r="H5" s="4" t="inlineStr">
        <is>
          <t xml:space="preserve"/>
        </is>
      </c>
      <c r="I5" s="4" t="inlineStr">
        <is>
          <t xml:space="preserve"/>
        </is>
      </c>
      <c r="J5" s="4" t="inlineStr">
        <is>
          <t xml:space="preserve"/>
        </is>
      </c>
      <c r="K5" s="4" t="inlineStr">
        <is>
          <t xml:space="preserve"/>
        </is>
      </c>
      <c r="L5" s="4" t="inlineStr">
        <is>
          <t xml:space="preserve"/>
        </is>
      </c>
      <c r="M5" s="4" t="inlineStr">
        <is>
          <t xml:space="preserve"/>
        </is>
      </c>
      <c r="N5" s="4" t="inlineStr">
        <is>
          <t xml:space="preserve"/>
        </is>
      </c>
      <c r="O5" s="4" t="inlineStr">
        <is>
          <t xml:space="preserve"/>
        </is>
      </c>
      <c r="P5" s="4" t="inlineStr">
        <is>
          <t xml:space="preserve"/>
        </is>
      </c>
      <c r="Q5" s="4" t="inlineStr">
        <is>
          <t xml:space="preserve"/>
        </is>
      </c>
      <c r="R5" s="4" t="inlineStr">
        <is>
          <t xml:space="preserve"/>
        </is>
      </c>
    </row>
    <row r="6" ht="66" customHeight="1">
      <c r="A6" s="4" t="inlineStr">
        <is>
          <t xml:space="preserve">BluePandaBetta</t>
        </is>
      </c>
      <c r="B6" s="3">
        <f>IMAGE("https://pub-590970a58ce5426989b3bcd2897271b4.r2.dev/sheet-images/fish/blue-panda-betta.png?v=1cbc3e15")</f>
      </c>
      <c r="C6" s="3" t="inlineStr">
        <is>
          <t xml:space="preserve">Betta Gấu Trúc Xanh</t>
        </is>
      </c>
      <c r="D6" s="4" t="inlineStr">
        <is>
          <t xml:space="preserve"/>
        </is>
      </c>
      <c r="E6" s="4" t="inlineStr">
        <is>
          <t xml:space="preserve"/>
        </is>
      </c>
      <c r="F6" s="4" t="inlineStr">
        <is>
          <t xml:space="preserve"/>
        </is>
      </c>
      <c r="G6" s="4" t="inlineStr">
        <is>
          <t xml:space="preserve"/>
        </is>
      </c>
      <c r="H6" s="4" t="inlineStr">
        <is>
          <t xml:space="preserve"/>
        </is>
      </c>
      <c r="I6" s="4" t="inlineStr">
        <is>
          <t xml:space="preserve"/>
        </is>
      </c>
      <c r="J6" s="4" t="inlineStr">
        <is>
          <t xml:space="preserve"/>
        </is>
      </c>
      <c r="K6" s="4" t="inlineStr">
        <is>
          <t xml:space="preserve"/>
        </is>
      </c>
      <c r="L6" s="4" t="inlineStr">
        <is>
          <t xml:space="preserve"/>
        </is>
      </c>
      <c r="M6" s="4" t="inlineStr">
        <is>
          <t xml:space="preserve"/>
        </is>
      </c>
      <c r="N6" s="4" t="inlineStr">
        <is>
          <t xml:space="preserve"/>
        </is>
      </c>
      <c r="O6" s="4" t="inlineStr">
        <is>
          <t xml:space="preserve"/>
        </is>
      </c>
      <c r="P6" s="4" t="inlineStr">
        <is>
          <t xml:space="preserve"/>
        </is>
      </c>
      <c r="Q6" s="4" t="inlineStr">
        <is>
          <t xml:space="preserve"/>
        </is>
      </c>
      <c r="R6" s="4" t="inlineStr">
        <is>
          <t xml:space="preserve"/>
        </is>
      </c>
    </row>
    <row r="7" ht="66" customHeight="1">
      <c r="A7" s="4" t="inlineStr">
        <is>
          <t xml:space="preserve">BlueWildBetta</t>
        </is>
      </c>
      <c r="B7" s="3">
        <f>IMAGE("https://pub-590970a58ce5426989b3bcd2897271b4.r2.dev/sheet-images/fish/blue-wild-betta.png?v=e36e243b")</f>
      </c>
      <c r="C7" s="3" t="inlineStr">
        <is>
          <t xml:space="preserve">Betta Rồng Xanh</t>
        </is>
      </c>
      <c r="D7" s="4" t="inlineStr">
        <is>
          <t xml:space="preserve"/>
        </is>
      </c>
      <c r="E7" s="4" t="inlineStr">
        <is>
          <t xml:space="preserve"/>
        </is>
      </c>
      <c r="F7" s="4" t="inlineStr">
        <is>
          <t xml:space="preserve"/>
        </is>
      </c>
      <c r="G7" s="4" t="inlineStr">
        <is>
          <t xml:space="preserve"/>
        </is>
      </c>
      <c r="H7" s="4" t="inlineStr">
        <is>
          <t xml:space="preserve"/>
        </is>
      </c>
      <c r="I7" s="4" t="inlineStr">
        <is>
          <t xml:space="preserve"/>
        </is>
      </c>
      <c r="J7" s="4" t="inlineStr">
        <is>
          <t xml:space="preserve"/>
        </is>
      </c>
      <c r="K7" s="4" t="inlineStr">
        <is>
          <t xml:space="preserve"/>
        </is>
      </c>
      <c r="L7" s="4" t="inlineStr">
        <is>
          <t xml:space="preserve"/>
        </is>
      </c>
      <c r="M7" s="4" t="inlineStr">
        <is>
          <t xml:space="preserve"/>
        </is>
      </c>
      <c r="N7" s="4" t="inlineStr">
        <is>
          <t xml:space="preserve"/>
        </is>
      </c>
      <c r="O7" s="4" t="inlineStr">
        <is>
          <t xml:space="preserve"/>
        </is>
      </c>
      <c r="P7" s="4" t="inlineStr">
        <is>
          <t xml:space="preserve"/>
        </is>
      </c>
      <c r="Q7" s="4" t="inlineStr">
        <is>
          <t xml:space="preserve"/>
        </is>
      </c>
      <c r="R7" s="4" t="inlineStr">
        <is>
          <t xml:space="preserve"/>
        </is>
      </c>
    </row>
    <row r="8" ht="66" customHeight="1">
      <c r="A8" s="4" t="inlineStr">
        <is>
          <t xml:space="preserve">ColorfulBetta</t>
        </is>
      </c>
      <c r="B8" s="3">
        <f>IMAGE("https://pub-590970a58ce5426989b3bcd2897271b4.r2.dev/sheet-images/fish/colorful-betta.png?v=5cc1541c")</f>
      </c>
      <c r="C8" s="3" t="inlineStr">
        <is>
          <t xml:space="preserve">Colorful Betta</t>
        </is>
      </c>
      <c r="D8" s="4" t="inlineStr">
        <is>
          <t xml:space="preserve"/>
        </is>
      </c>
      <c r="E8" s="4" t="inlineStr">
        <is>
          <t xml:space="preserve"/>
        </is>
      </c>
      <c r="F8" s="4" t="inlineStr">
        <is>
          <t xml:space="preserve"/>
        </is>
      </c>
      <c r="G8" s="4" t="inlineStr">
        <is>
          <t xml:space="preserve"/>
        </is>
      </c>
      <c r="H8" s="4" t="inlineStr">
        <is>
          <t xml:space="preserve"/>
        </is>
      </c>
      <c r="I8" s="4" t="inlineStr">
        <is>
          <t xml:space="preserve"/>
        </is>
      </c>
      <c r="J8" s="4" t="inlineStr">
        <is>
          <t xml:space="preserve"/>
        </is>
      </c>
      <c r="K8" s="4" t="inlineStr">
        <is>
          <t xml:space="preserve"/>
        </is>
      </c>
      <c r="L8" s="4" t="inlineStr">
        <is>
          <t xml:space="preserve"/>
        </is>
      </c>
      <c r="M8" s="4" t="inlineStr">
        <is>
          <t xml:space="preserve"/>
        </is>
      </c>
      <c r="N8" s="4" t="inlineStr">
        <is>
          <t xml:space="preserve"/>
        </is>
      </c>
      <c r="O8" s="4" t="inlineStr">
        <is>
          <t xml:space="preserve"/>
        </is>
      </c>
      <c r="P8" s="4" t="inlineStr">
        <is>
          <t xml:space="preserve"/>
        </is>
      </c>
      <c r="Q8" s="4" t="inlineStr">
        <is>
          <t xml:space="preserve"/>
        </is>
      </c>
      <c r="R8" s="4" t="inlineStr">
        <is>
          <t xml:space="preserve"/>
        </is>
      </c>
    </row>
    <row r="9" ht="66" customHeight="1">
      <c r="A9" s="4" t="inlineStr">
        <is>
          <t xml:space="preserve">EmeraldRedBetta</t>
        </is>
      </c>
      <c r="B9" s="3">
        <f>IMAGE("https://pub-590970a58ce5426989b3bcd2897271b4.r2.dev/sheet-images/fish/emerald-red-betta.png?v=c2d27f6b")</f>
      </c>
      <c r="C9" s="3" t="inlineStr">
        <is>
          <t xml:space="preserve">Betta Lục Bảo Đỏ</t>
        </is>
      </c>
      <c r="D9" s="4">
        <v>0.25</v>
      </c>
      <c r="E9" s="4" t="inlineStr">
        <is>
          <t xml:space="preserve"/>
        </is>
      </c>
      <c r="F9" s="4" t="inlineStr">
        <is>
          <t xml:space="preserve"/>
        </is>
      </c>
      <c r="G9" s="4">
        <v>1.4</v>
      </c>
      <c r="H9" s="4" t="inlineStr">
        <is>
          <t xml:space="preserve"/>
        </is>
      </c>
      <c r="I9" s="4" t="inlineStr">
        <is>
          <t xml:space="preserve"/>
        </is>
      </c>
      <c r="J9" s="4" t="inlineStr">
        <is>
          <t xml:space="preserve"/>
        </is>
      </c>
      <c r="K9" s="4" t="inlineStr">
        <is>
          <t xml:space="preserve"/>
        </is>
      </c>
      <c r="L9" s="4" t="inlineStr">
        <is>
          <t xml:space="preserve"/>
        </is>
      </c>
      <c r="M9" s="4" t="inlineStr">
        <is>
          <t xml:space="preserve"/>
        </is>
      </c>
      <c r="N9" s="4" t="inlineStr">
        <is>
          <t xml:space="preserve"/>
        </is>
      </c>
      <c r="O9" s="4">
        <v>1.5</v>
      </c>
      <c r="P9" s="4">
        <v>1.35</v>
      </c>
      <c r="Q9" s="4" t="inlineStr">
        <is>
          <t xml:space="preserve"/>
        </is>
      </c>
      <c r="R9" s="4" t="inlineStr">
        <is>
          <t xml:space="preserve"/>
        </is>
      </c>
    </row>
    <row r="10" ht="66" customHeight="1">
      <c r="A10" s="4" t="inlineStr">
        <is>
          <t xml:space="preserve">GalaxyBetta</t>
        </is>
      </c>
      <c r="B10" s="3">
        <f>IMAGE("https://pub-590970a58ce5426989b3bcd2897271b4.r2.dev/sheet-images/fish/galaxy-betta.png?v=ab617dcf")</f>
      </c>
      <c r="C10" s="3" t="inlineStr">
        <is>
          <t xml:space="preserve">Galaxy Betta</t>
        </is>
      </c>
      <c r="D10" s="4" t="inlineStr">
        <is>
          <t xml:space="preserve"/>
        </is>
      </c>
      <c r="E10" s="4" t="inlineStr">
        <is>
          <t xml:space="preserve"/>
        </is>
      </c>
      <c r="F10" s="4" t="inlineStr">
        <is>
          <t xml:space="preserve"/>
        </is>
      </c>
      <c r="G10" s="4" t="inlineStr">
        <is>
          <t xml:space="preserve"/>
        </is>
      </c>
      <c r="H10" s="4" t="inlineStr">
        <is>
          <t xml:space="preserve"/>
        </is>
      </c>
      <c r="I10" s="4" t="inlineStr">
        <is>
          <t xml:space="preserve"/>
        </is>
      </c>
      <c r="J10" s="4" t="inlineStr">
        <is>
          <t xml:space="preserve"/>
        </is>
      </c>
      <c r="K10" s="4" t="inlineStr">
        <is>
          <t xml:space="preserve"/>
        </is>
      </c>
      <c r="L10" s="4" t="inlineStr">
        <is>
          <t xml:space="preserve"/>
        </is>
      </c>
      <c r="M10" s="4" t="inlineStr">
        <is>
          <t xml:space="preserve"/>
        </is>
      </c>
      <c r="N10" s="4" t="inlineStr">
        <is>
          <t xml:space="preserve"/>
        </is>
      </c>
      <c r="O10" s="4" t="inlineStr">
        <is>
          <t xml:space="preserve"/>
        </is>
      </c>
      <c r="P10" s="4" t="inlineStr">
        <is>
          <t xml:space="preserve"/>
        </is>
      </c>
      <c r="Q10" s="4" t="inlineStr">
        <is>
          <t xml:space="preserve"/>
        </is>
      </c>
      <c r="R10" s="4" t="inlineStr">
        <is>
          <t xml:space="preserve"/>
        </is>
      </c>
    </row>
    <row r="11" ht="66" customHeight="1">
      <c r="A11" s="4" t="inlineStr">
        <is>
          <t xml:space="preserve">GoldTigerBetta</t>
        </is>
      </c>
      <c r="B11" s="3">
        <f>IMAGE("https://pub-590970a58ce5426989b3bcd2897271b4.r2.dev/sheet-images/fish/gold-tiger-betta.png?v=b85cc880")</f>
      </c>
      <c r="C11" s="3" t="inlineStr">
        <is>
          <t xml:space="preserve">Betta Hổ Vàng</t>
        </is>
      </c>
      <c r="D11" s="4" t="inlineStr">
        <is>
          <t xml:space="preserve"/>
        </is>
      </c>
      <c r="E11" s="4" t="inlineStr">
        <is>
          <t xml:space="preserve"/>
        </is>
      </c>
      <c r="F11" s="4" t="inlineStr">
        <is>
          <t xml:space="preserve"/>
        </is>
      </c>
      <c r="G11" s="4" t="inlineStr">
        <is>
          <t xml:space="preserve"/>
        </is>
      </c>
      <c r="H11" s="4" t="inlineStr">
        <is>
          <t xml:space="preserve"/>
        </is>
      </c>
      <c r="I11" s="4" t="inlineStr">
        <is>
          <t xml:space="preserve"/>
        </is>
      </c>
      <c r="J11" s="4" t="inlineStr">
        <is>
          <t xml:space="preserve"/>
        </is>
      </c>
      <c r="K11" s="4" t="inlineStr">
        <is>
          <t xml:space="preserve"/>
        </is>
      </c>
      <c r="L11" s="4" t="inlineStr">
        <is>
          <t xml:space="preserve"/>
        </is>
      </c>
      <c r="M11" s="4" t="inlineStr">
        <is>
          <t xml:space="preserve"/>
        </is>
      </c>
      <c r="N11" s="4" t="inlineStr">
        <is>
          <t xml:space="preserve"/>
        </is>
      </c>
      <c r="O11" s="4" t="inlineStr">
        <is>
          <t xml:space="preserve"/>
        </is>
      </c>
      <c r="P11" s="4" t="inlineStr">
        <is>
          <t xml:space="preserve"/>
        </is>
      </c>
      <c r="Q11" s="4" t="inlineStr">
        <is>
          <t xml:space="preserve"/>
        </is>
      </c>
      <c r="R11" s="4" t="inlineStr">
        <is>
          <t xml:space="preserve"/>
        </is>
      </c>
    </row>
    <row r="12" ht="66" customHeight="1">
      <c r="A12" s="4" t="inlineStr">
        <is>
          <t xml:space="preserve">KoiBetta</t>
        </is>
      </c>
      <c r="B12" s="3">
        <f>IMAGE("https://pub-590970a58ce5426989b3bcd2897271b4.r2.dev/sheet-images/fish/koi-betta.png?v=798a58a8")</f>
      </c>
      <c r="C12" s="3" t="inlineStr">
        <is>
          <t xml:space="preserve">Koi Betta</t>
        </is>
      </c>
      <c r="D12" s="4" t="inlineStr">
        <is>
          <t xml:space="preserve"/>
        </is>
      </c>
      <c r="E12" s="4" t="inlineStr">
        <is>
          <t xml:space="preserve"/>
        </is>
      </c>
      <c r="F12" s="4">
        <v>0</v>
      </c>
      <c r="G12" s="4" t="inlineStr">
        <is>
          <t xml:space="preserve"/>
        </is>
      </c>
      <c r="H12" s="4" t="inlineStr">
        <is>
          <t xml:space="preserve"/>
        </is>
      </c>
      <c r="I12" s="4" t="inlineStr">
        <is>
          <t xml:space="preserve"/>
        </is>
      </c>
      <c r="J12" s="4" t="inlineStr">
        <is>
          <t xml:space="preserve"/>
        </is>
      </c>
      <c r="K12" s="4" t="inlineStr">
        <is>
          <t xml:space="preserve"/>
        </is>
      </c>
      <c r="L12" s="4" t="inlineStr">
        <is>
          <t xml:space="preserve"/>
        </is>
      </c>
      <c r="M12" s="4" t="inlineStr">
        <is>
          <t xml:space="preserve"/>
        </is>
      </c>
      <c r="N12" s="4" t="inlineStr">
        <is>
          <t xml:space="preserve"/>
        </is>
      </c>
      <c r="O12" s="4" t="inlineStr">
        <is>
          <t xml:space="preserve"/>
        </is>
      </c>
      <c r="P12" s="4" t="inlineStr">
        <is>
          <t xml:space="preserve"/>
        </is>
      </c>
      <c r="Q12" s="4" t="inlineStr">
        <is>
          <t xml:space="preserve"/>
        </is>
      </c>
      <c r="R12" s="4" t="inlineStr">
        <is>
          <t xml:space="preserve"/>
        </is>
      </c>
    </row>
    <row r="13" ht="66" customHeight="1">
      <c r="A13" s="4" t="inlineStr">
        <is>
          <t xml:space="preserve">KoiNemoRig</t>
        </is>
      </c>
      <c r="B13" s="3">
        <f>IMAGE("https://pub-590970a58ce5426989b3bcd2897271b4.r2.dev/sheet-images/fish/koi-nemo.png?v=f57fa2a7")</f>
      </c>
      <c r="C13" s="3" t="inlineStr">
        <is>
          <t xml:space="preserve">Koi Nemo Betta</t>
        </is>
      </c>
      <c r="D13" s="4">
        <v>0.4</v>
      </c>
      <c r="E13" s="4">
        <v>0.6</v>
      </c>
      <c r="F13" s="4">
        <v>1</v>
      </c>
      <c r="G13" s="4">
        <v>1</v>
      </c>
      <c r="H13" s="4">
        <v>0</v>
      </c>
      <c r="I13" s="4">
        <v>0</v>
      </c>
      <c r="J13" s="4" t="inlineStr">
        <is>
          <t xml:space="preserve"/>
        </is>
      </c>
      <c r="K13" s="4">
        <v>0</v>
      </c>
      <c r="L13" s="4">
        <v>0.55</v>
      </c>
      <c r="M13" s="4" t="inlineStr">
        <is>
          <t xml:space="preserve"/>
        </is>
      </c>
      <c r="N13" s="4" t="inlineStr">
        <is>
          <t xml:space="preserve"/>
        </is>
      </c>
      <c r="O13" s="4" t="inlineStr">
        <is>
          <t xml:space="preserve"/>
        </is>
      </c>
      <c r="P13" s="4" t="inlineStr">
        <is>
          <t xml:space="preserve"/>
        </is>
      </c>
      <c r="Q13" s="4" t="inlineStr">
        <is>
          <t xml:space="preserve"/>
        </is>
      </c>
      <c r="R13" s="4" t="inlineStr">
        <is>
          <t xml:space="preserve"/>
        </is>
      </c>
    </row>
    <row r="14" ht="66" customHeight="1">
      <c r="A14" s="4" t="inlineStr">
        <is>
          <t xml:space="preserve">NemoKoiBetta</t>
        </is>
      </c>
      <c r="B14" s="3">
        <f>IMAGE("https://pub-590970a58ce5426989b3bcd2897271b4.r2.dev/sheet-images/fish/nemo-koi-betta.png?v=0a139958")</f>
      </c>
      <c r="C14" s="3" t="inlineStr">
        <is>
          <t xml:space="preserve">Nemo Koi Betta</t>
        </is>
      </c>
      <c r="D14" s="4" t="inlineStr">
        <is>
          <t xml:space="preserve"/>
        </is>
      </c>
      <c r="E14" s="4" t="inlineStr">
        <is>
          <t xml:space="preserve"/>
        </is>
      </c>
      <c r="F14" s="4" t="inlineStr">
        <is>
          <t xml:space="preserve"/>
        </is>
      </c>
      <c r="G14" s="4" t="inlineStr">
        <is>
          <t xml:space="preserve"/>
        </is>
      </c>
      <c r="H14" s="4" t="inlineStr">
        <is>
          <t xml:space="preserve"/>
        </is>
      </c>
      <c r="I14" s="4" t="inlineStr">
        <is>
          <t xml:space="preserve"/>
        </is>
      </c>
      <c r="J14" s="4" t="inlineStr">
        <is>
          <t xml:space="preserve"/>
        </is>
      </c>
      <c r="K14" s="4" t="inlineStr">
        <is>
          <t xml:space="preserve"/>
        </is>
      </c>
      <c r="L14" s="4" t="inlineStr">
        <is>
          <t xml:space="preserve"/>
        </is>
      </c>
      <c r="M14" s="4" t="inlineStr">
        <is>
          <t xml:space="preserve"/>
        </is>
      </c>
      <c r="N14" s="4" t="inlineStr">
        <is>
          <t xml:space="preserve"/>
        </is>
      </c>
      <c r="O14" s="4" t="inlineStr">
        <is>
          <t xml:space="preserve"/>
        </is>
      </c>
      <c r="P14" s="4" t="inlineStr">
        <is>
          <t xml:space="preserve"/>
        </is>
      </c>
      <c r="Q14" s="4" t="inlineStr">
        <is>
          <t xml:space="preserve"/>
        </is>
      </c>
      <c r="R14" s="4" t="inlineStr">
        <is>
          <t xml:space="preserve"/>
        </is>
      </c>
    </row>
    <row r="15" ht="66" customHeight="1">
      <c r="A15" s="4" t="inlineStr">
        <is>
          <t xml:space="preserve">Plakat</t>
        </is>
      </c>
      <c r="B15" s="3">
        <f>IMAGE("https://pub-590970a58ce5426989b3bcd2897271b4.r2.dev/sheet-images/fish/plakat.png?v=d3f82500")</f>
      </c>
      <c r="C15" s="3" t="inlineStr">
        <is>
          <t xml:space="preserve">Plakat Koi</t>
        </is>
      </c>
      <c r="D15" s="4">
        <v>0.4</v>
      </c>
      <c r="E15" s="4">
        <v>0.6</v>
      </c>
      <c r="F15" s="4">
        <v>1</v>
      </c>
      <c r="G15" s="4">
        <v>1</v>
      </c>
      <c r="H15" s="4">
        <v>0</v>
      </c>
      <c r="I15" s="4">
        <v>0</v>
      </c>
      <c r="J15" s="4" t="inlineStr">
        <is>
          <t xml:space="preserve"/>
        </is>
      </c>
      <c r="K15" s="4">
        <v>0</v>
      </c>
      <c r="L15" s="4">
        <v>0.55</v>
      </c>
      <c r="M15" s="4" t="inlineStr">
        <is>
          <t xml:space="preserve"/>
        </is>
      </c>
      <c r="N15" s="4" t="inlineStr">
        <is>
          <t xml:space="preserve"/>
        </is>
      </c>
      <c r="O15" s="4" t="inlineStr">
        <is>
          <t xml:space="preserve"/>
        </is>
      </c>
      <c r="P15" s="4" t="inlineStr">
        <is>
          <t xml:space="preserve"/>
        </is>
      </c>
      <c r="Q15" s="4" t="inlineStr">
        <is>
          <t xml:space="preserve"/>
        </is>
      </c>
      <c r="R15" s="4" t="inlineStr">
        <is>
          <t xml:space="preserve"/>
        </is>
      </c>
    </row>
    <row r="16" ht="66" customHeight="1">
      <c r="A16" s="4" t="inlineStr">
        <is>
          <t xml:space="preserve">PlakatGalaxy</t>
        </is>
      </c>
      <c r="B16" s="3">
        <f>IMAGE("https://pub-590970a58ce5426989b3bcd2897271b4.r2.dev/sheet-images/fish/plakat-galaxy.png?v=a66df8df")</f>
      </c>
      <c r="C16" s="3" t="inlineStr">
        <is>
          <t xml:space="preserve">Koi Galaxy Betta</t>
        </is>
      </c>
      <c r="D16" s="4">
        <v>0.25</v>
      </c>
      <c r="E16" s="4">
        <v>0.6</v>
      </c>
      <c r="F16" s="4">
        <v>0.4</v>
      </c>
      <c r="G16" s="4">
        <v>0.5</v>
      </c>
      <c r="H16" s="4">
        <v>0.15</v>
      </c>
      <c r="I16" s="4">
        <v>0.04</v>
      </c>
      <c r="J16" s="4">
        <v>0.6</v>
      </c>
      <c r="K16" s="4">
        <v>0.35</v>
      </c>
      <c r="L16" s="4">
        <v>0.5</v>
      </c>
      <c r="M16" s="4">
        <v>1</v>
      </c>
      <c r="N16" s="4">
        <v>0.35</v>
      </c>
      <c r="O16" s="4">
        <v>1.3</v>
      </c>
      <c r="P16" s="4">
        <v>1.12</v>
      </c>
      <c r="Q16" s="4" t="inlineStr">
        <is>
          <t xml:space="preserve"/>
        </is>
      </c>
      <c r="R16" s="4" t="inlineStr">
        <is>
          <t xml:space="preserve"/>
        </is>
      </c>
    </row>
    <row r="17" ht="66" customHeight="1">
      <c r="A17" s="4" t="inlineStr">
        <is>
          <t xml:space="preserve">PurpleMoonBetta</t>
        </is>
      </c>
      <c r="B17" s="3">
        <f>IMAGE("https://pub-590970a58ce5426989b3bcd2897271b4.r2.dev/sheet-images/fish/purple-moon-betta.png?v=f988dcb3")</f>
      </c>
      <c r="C17" s="3" t="inlineStr">
        <is>
          <t xml:space="preserve">Betta Trăng Tím</t>
        </is>
      </c>
      <c r="D17" s="4">
        <v>0.5</v>
      </c>
      <c r="E17" s="4" t="inlineStr">
        <is>
          <t xml:space="preserve"/>
        </is>
      </c>
      <c r="F17" s="4" t="inlineStr">
        <is>
          <t xml:space="preserve"/>
        </is>
      </c>
      <c r="G17" s="4">
        <v>1.2</v>
      </c>
      <c r="H17" s="4" t="inlineStr">
        <is>
          <t xml:space="preserve"/>
        </is>
      </c>
      <c r="I17" s="4" t="inlineStr">
        <is>
          <t xml:space="preserve"/>
        </is>
      </c>
      <c r="J17" s="4" t="inlineStr">
        <is>
          <t xml:space="preserve"/>
        </is>
      </c>
      <c r="K17" s="4" t="inlineStr">
        <is>
          <t xml:space="preserve"/>
        </is>
      </c>
      <c r="L17" s="4" t="inlineStr">
        <is>
          <t xml:space="preserve"/>
        </is>
      </c>
      <c r="M17" s="4" t="inlineStr">
        <is>
          <t xml:space="preserve"/>
        </is>
      </c>
      <c r="N17" s="4" t="inlineStr">
        <is>
          <t xml:space="preserve"/>
        </is>
      </c>
      <c r="O17" s="4" t="inlineStr">
        <is>
          <t xml:space="preserve"/>
        </is>
      </c>
      <c r="P17" s="4" t="inlineStr">
        <is>
          <t xml:space="preserve"/>
        </is>
      </c>
      <c r="Q17" s="4">
        <v>0.4</v>
      </c>
      <c r="R17" s="4" t="inlineStr">
        <is>
          <t xml:space="preserve"/>
        </is>
      </c>
    </row>
    <row r="18" ht="66" customHeight="1">
      <c r="A18" s="4" t="inlineStr">
        <is>
          <t xml:space="preserve">PurpleRubyBetta</t>
        </is>
      </c>
      <c r="B18" s="3">
        <f>IMAGE("https://pub-590970a58ce5426989b3bcd2897271b4.r2.dev/sheet-images/fish/purple-ruby-betta.png?v=8b2a77a6")</f>
      </c>
      <c r="C18" s="3" t="inlineStr">
        <is>
          <t xml:space="preserve">Betta Hồng Ngọc Tím</t>
        </is>
      </c>
      <c r="D18" s="4" t="inlineStr">
        <is>
          <t xml:space="preserve"/>
        </is>
      </c>
      <c r="E18" s="4" t="inlineStr">
        <is>
          <t xml:space="preserve"/>
        </is>
      </c>
      <c r="F18" s="4" t="inlineStr">
        <is>
          <t xml:space="preserve"/>
        </is>
      </c>
      <c r="G18" s="4" t="inlineStr">
        <is>
          <t xml:space="preserve"/>
        </is>
      </c>
      <c r="H18" s="4" t="inlineStr">
        <is>
          <t xml:space="preserve"/>
        </is>
      </c>
      <c r="I18" s="4" t="inlineStr">
        <is>
          <t xml:space="preserve"/>
        </is>
      </c>
      <c r="J18" s="4" t="inlineStr">
        <is>
          <t xml:space="preserve"/>
        </is>
      </c>
      <c r="K18" s="4" t="inlineStr">
        <is>
          <t xml:space="preserve"/>
        </is>
      </c>
      <c r="L18" s="4" t="inlineStr">
        <is>
          <t xml:space="preserve"/>
        </is>
      </c>
      <c r="M18" s="4" t="inlineStr">
        <is>
          <t xml:space="preserve"/>
        </is>
      </c>
      <c r="N18" s="4" t="inlineStr">
        <is>
          <t xml:space="preserve"/>
        </is>
      </c>
      <c r="O18" s="4" t="inlineStr">
        <is>
          <t xml:space="preserve"/>
        </is>
      </c>
      <c r="P18" s="4" t="inlineStr">
        <is>
          <t xml:space="preserve"/>
        </is>
      </c>
      <c r="Q18" s="4" t="inlineStr">
        <is>
          <t xml:space="preserve"/>
        </is>
      </c>
      <c r="R18" s="4" t="inlineStr">
        <is>
          <t xml:space="preserve"/>
        </is>
      </c>
    </row>
    <row r="19" ht="66" customHeight="1">
      <c r="A19" s="4" t="inlineStr">
        <is>
          <t xml:space="preserve">RedSteelBetta</t>
        </is>
      </c>
      <c r="B19" s="3">
        <f>IMAGE("https://pub-590970a58ce5426989b3bcd2897271b4.r2.dev/sheet-images/fish/red-steel-betta.png?v=e29f7895")</f>
      </c>
      <c r="C19" s="3" t="inlineStr">
        <is>
          <t xml:space="preserve">Red Steel Betta</t>
        </is>
      </c>
      <c r="D19" s="4" t="inlineStr">
        <is>
          <t xml:space="preserve"/>
        </is>
      </c>
      <c r="E19" s="4" t="inlineStr">
        <is>
          <t xml:space="preserve"/>
        </is>
      </c>
      <c r="F19" s="4" t="inlineStr">
        <is>
          <t xml:space="preserve"/>
        </is>
      </c>
      <c r="G19" s="4" t="inlineStr">
        <is>
          <t xml:space="preserve"/>
        </is>
      </c>
      <c r="H19" s="4" t="inlineStr">
        <is>
          <t xml:space="preserve"/>
        </is>
      </c>
      <c r="I19" s="4" t="inlineStr">
        <is>
          <t xml:space="preserve"/>
        </is>
      </c>
      <c r="J19" s="4" t="inlineStr">
        <is>
          <t xml:space="preserve"/>
        </is>
      </c>
      <c r="K19" s="4" t="inlineStr">
        <is>
          <t xml:space="preserve"/>
        </is>
      </c>
      <c r="L19" s="4" t="inlineStr">
        <is>
          <t xml:space="preserve"/>
        </is>
      </c>
      <c r="M19" s="4" t="inlineStr">
        <is>
          <t xml:space="preserve"/>
        </is>
      </c>
      <c r="N19" s="4" t="inlineStr">
        <is>
          <t xml:space="preserve"/>
        </is>
      </c>
      <c r="O19" s="4" t="inlineStr">
        <is>
          <t xml:space="preserve"/>
        </is>
      </c>
      <c r="P19" s="4" t="inlineStr">
        <is>
          <t xml:space="preserve"/>
        </is>
      </c>
      <c r="Q19" s="4" t="inlineStr">
        <is>
          <t xml:space="preserve"/>
        </is>
      </c>
      <c r="R19" s="4" t="inlineStr">
        <is>
          <t xml:space="preserve"/>
        </is>
      </c>
    </row>
    <row r="20" ht="66" customHeight="1">
      <c r="A20" s="4" t="inlineStr">
        <is>
          <t xml:space="preserve">RoyalKoiBetta</t>
        </is>
      </c>
      <c r="B20" s="3">
        <f>IMAGE("https://pub-590970a58ce5426989b3bcd2897271b4.r2.dev/sheet-images/fish/royal-koi-betta.png?v=413784be")</f>
      </c>
      <c r="C20" s="3" t="inlineStr">
        <is>
          <t xml:space="preserve">Royal Koi</t>
        </is>
      </c>
      <c r="D20" s="4" t="inlineStr">
        <is>
          <t xml:space="preserve"/>
        </is>
      </c>
      <c r="E20" s="4" t="inlineStr">
        <is>
          <t xml:space="preserve"/>
        </is>
      </c>
      <c r="F20" s="4" t="inlineStr">
        <is>
          <t xml:space="preserve"/>
        </is>
      </c>
      <c r="G20" s="4" t="inlineStr">
        <is>
          <t xml:space="preserve"/>
        </is>
      </c>
      <c r="H20" s="4" t="inlineStr">
        <is>
          <t xml:space="preserve"/>
        </is>
      </c>
      <c r="I20" s="4" t="inlineStr">
        <is>
          <t xml:space="preserve"/>
        </is>
      </c>
      <c r="J20" s="4" t="inlineStr">
        <is>
          <t xml:space="preserve"/>
        </is>
      </c>
      <c r="K20" s="4" t="inlineStr">
        <is>
          <t xml:space="preserve"/>
        </is>
      </c>
      <c r="L20" s="4" t="inlineStr">
        <is>
          <t xml:space="preserve"/>
        </is>
      </c>
      <c r="M20" s="4" t="inlineStr">
        <is>
          <t xml:space="preserve"/>
        </is>
      </c>
      <c r="N20" s="4" t="inlineStr">
        <is>
          <t xml:space="preserve"/>
        </is>
      </c>
      <c r="O20" s="4" t="inlineStr">
        <is>
          <t xml:space="preserve"/>
        </is>
      </c>
      <c r="P20" s="4" t="inlineStr">
        <is>
          <t xml:space="preserve"/>
        </is>
      </c>
      <c r="Q20" s="4" t="inlineStr">
        <is>
          <t xml:space="preserve"/>
        </is>
      </c>
      <c r="R20" s="4" t="inlineStr">
        <is>
          <t xml:space="preserve"/>
        </is>
      </c>
    </row>
    <row r="21" ht="66" customHeight="1">
      <c r="A21" s="4" t="inlineStr">
        <is>
          <t xml:space="preserve">SkyKoiBetta</t>
        </is>
      </c>
      <c r="B21" s="3">
        <f>IMAGE("https://pub-590970a58ce5426989b3bcd2897271b4.r2.dev/sheet-images/fish/sky-koi-betta.png?v=974c7f77")</f>
      </c>
      <c r="C21" s="3" t="inlineStr">
        <is>
          <t xml:space="preserve">Sky Koi Betta</t>
        </is>
      </c>
      <c r="D21" s="4" t="inlineStr">
        <is>
          <t xml:space="preserve"/>
        </is>
      </c>
      <c r="E21" s="4" t="inlineStr">
        <is>
          <t xml:space="preserve"/>
        </is>
      </c>
      <c r="F21" s="4" t="inlineStr">
        <is>
          <t xml:space="preserve"/>
        </is>
      </c>
      <c r="G21" s="4" t="inlineStr">
        <is>
          <t xml:space="preserve"/>
        </is>
      </c>
      <c r="H21" s="4" t="inlineStr">
        <is>
          <t xml:space="preserve"/>
        </is>
      </c>
      <c r="I21" s="4" t="inlineStr">
        <is>
          <t xml:space="preserve"/>
        </is>
      </c>
      <c r="J21" s="4" t="inlineStr">
        <is>
          <t xml:space="preserve"/>
        </is>
      </c>
      <c r="K21" s="4" t="inlineStr">
        <is>
          <t xml:space="preserve"/>
        </is>
      </c>
      <c r="L21" s="4" t="inlineStr">
        <is>
          <t xml:space="preserve"/>
        </is>
      </c>
      <c r="M21" s="4" t="inlineStr">
        <is>
          <t xml:space="preserve"/>
        </is>
      </c>
      <c r="N21" s="4" t="inlineStr">
        <is>
          <t xml:space="preserve"/>
        </is>
      </c>
      <c r="O21" s="4" t="inlineStr">
        <is>
          <t xml:space="preserve"/>
        </is>
      </c>
      <c r="P21" s="4" t="inlineStr">
        <is>
          <t xml:space="preserve"/>
        </is>
      </c>
      <c r="Q21" s="4" t="inlineStr">
        <is>
          <t xml:space="preserve"/>
        </is>
      </c>
      <c r="R21" s="4" t="inlineStr">
        <is>
          <t xml:space="preserve"/>
        </is>
      </c>
    </row>
    <row r="22" ht="66" customHeight="1">
      <c r="A22" s="4" t="inlineStr">
        <is>
          <t xml:space="preserve">SkyKoiBettaM4</t>
        </is>
      </c>
      <c r="B22" s="3">
        <f>IMAGE("https://pub-590970a58ce5426989b3bcd2897271b4.r2.dev/sheet-images/fish/sky-koi-betta-m4.png?v=099e8b9d")</f>
      </c>
      <c r="C22" s="3" t="inlineStr">
        <is>
          <t xml:space="preserve">Sky Koi Betta M4</t>
        </is>
      </c>
      <c r="D22" s="4" t="inlineStr">
        <is>
          <t xml:space="preserve"/>
        </is>
      </c>
      <c r="E22" s="4" t="inlineStr">
        <is>
          <t xml:space="preserve"/>
        </is>
      </c>
      <c r="F22" s="4" t="inlineStr">
        <is>
          <t xml:space="preserve"/>
        </is>
      </c>
      <c r="G22" s="4" t="inlineStr">
        <is>
          <t xml:space="preserve"/>
        </is>
      </c>
      <c r="H22" s="4" t="inlineStr">
        <is>
          <t xml:space="preserve"/>
        </is>
      </c>
      <c r="I22" s="4" t="inlineStr">
        <is>
          <t xml:space="preserve"/>
        </is>
      </c>
      <c r="J22" s="4" t="inlineStr">
        <is>
          <t xml:space="preserve"/>
        </is>
      </c>
      <c r="K22" s="4" t="inlineStr">
        <is>
          <t xml:space="preserve"/>
        </is>
      </c>
      <c r="L22" s="4" t="inlineStr">
        <is>
          <t xml:space="preserve"/>
        </is>
      </c>
      <c r="M22" s="4" t="inlineStr">
        <is>
          <t xml:space="preserve"/>
        </is>
      </c>
      <c r="N22" s="4" t="inlineStr">
        <is>
          <t xml:space="preserve"/>
        </is>
      </c>
      <c r="O22" s="4" t="inlineStr">
        <is>
          <t xml:space="preserve"/>
        </is>
      </c>
      <c r="P22" s="4" t="inlineStr">
        <is>
          <t xml:space="preserve"/>
        </is>
      </c>
      <c r="Q22" s="4" t="inlineStr">
        <is>
          <t xml:space="preserve"/>
        </is>
      </c>
      <c r="R22" s="4" t="inlineStr">
        <is>
          <t xml:space="preserve"/>
        </is>
      </c>
    </row>
    <row r="23" ht="66" customHeight="1">
      <c r="A23" s="4" t="inlineStr">
        <is>
          <t xml:space="preserve">TealWhiteBetta</t>
        </is>
      </c>
      <c r="B23" s="3">
        <f>IMAGE("https://pub-590970a58ce5426989b3bcd2897271b4.r2.dev/sheet-images/fish/teal-white-betta.png?v=a25361f1")</f>
      </c>
      <c r="C23" s="3" t="inlineStr">
        <is>
          <t xml:space="preserve">Betta Trắng Ngọc Lam</t>
        </is>
      </c>
      <c r="D23" s="4" t="inlineStr">
        <is>
          <t xml:space="preserve"/>
        </is>
      </c>
      <c r="E23" s="4" t="inlineStr">
        <is>
          <t xml:space="preserve"/>
        </is>
      </c>
      <c r="F23" s="4" t="inlineStr">
        <is>
          <t xml:space="preserve"/>
        </is>
      </c>
      <c r="G23" s="4" t="inlineStr">
        <is>
          <t xml:space="preserve"/>
        </is>
      </c>
      <c r="H23" s="4" t="inlineStr">
        <is>
          <t xml:space="preserve"/>
        </is>
      </c>
      <c r="I23" s="4" t="inlineStr">
        <is>
          <t xml:space="preserve"/>
        </is>
      </c>
      <c r="J23" s="4" t="inlineStr">
        <is>
          <t xml:space="preserve"/>
        </is>
      </c>
      <c r="K23" s="4" t="inlineStr">
        <is>
          <t xml:space="preserve"/>
        </is>
      </c>
      <c r="L23" s="4" t="inlineStr">
        <is>
          <t xml:space="preserve"/>
        </is>
      </c>
      <c r="M23" s="4" t="inlineStr">
        <is>
          <t xml:space="preserve"/>
        </is>
      </c>
      <c r="N23" s="4" t="inlineStr">
        <is>
          <t xml:space="preserve"/>
        </is>
      </c>
      <c r="O23" s="4" t="inlineStr">
        <is>
          <t xml:space="preserve"/>
        </is>
      </c>
      <c r="P23" s="4" t="inlineStr">
        <is>
          <t xml:space="preserve"/>
        </is>
      </c>
      <c r="Q23" s="4" t="inlineStr">
        <is>
          <t xml:space="preserve"/>
        </is>
      </c>
      <c r="R23" s="4" t="inlineStr">
        <is>
          <t xml:space="preserve"/>
        </is>
      </c>
    </row>
    <row r="24" ht="66" customHeight="1">
      <c r="A24" s="4" t="inlineStr">
        <is>
          <t xml:space="preserve">YellowKoiBetta</t>
        </is>
      </c>
      <c r="B24" s="3">
        <f>IMAGE("https://pub-590970a58ce5426989b3bcd2897271b4.r2.dev/sheet-images/fish/yellow-koi-betta.png?v=c8debce1")</f>
      </c>
      <c r="C24" s="3" t="inlineStr">
        <is>
          <t xml:space="preserve">Betta Koi Vàng</t>
        </is>
      </c>
      <c r="D24" s="4" t="inlineStr">
        <is>
          <t xml:space="preserve"/>
        </is>
      </c>
      <c r="E24" s="4" t="inlineStr">
        <is>
          <t xml:space="preserve"/>
        </is>
      </c>
      <c r="F24" s="4" t="inlineStr">
        <is>
          <t xml:space="preserve"/>
        </is>
      </c>
      <c r="G24" s="4" t="inlineStr">
        <is>
          <t xml:space="preserve"/>
        </is>
      </c>
      <c r="H24" s="4" t="inlineStr">
        <is>
          <t xml:space="preserve"/>
        </is>
      </c>
      <c r="I24" s="4" t="inlineStr">
        <is>
          <t xml:space="preserve"/>
        </is>
      </c>
      <c r="J24" s="4" t="inlineStr">
        <is>
          <t xml:space="preserve"/>
        </is>
      </c>
      <c r="K24" s="4" t="inlineStr">
        <is>
          <t xml:space="preserve"/>
        </is>
      </c>
      <c r="L24" s="4" t="inlineStr">
        <is>
          <t xml:space="preserve"/>
        </is>
      </c>
      <c r="M24" s="4" t="inlineStr">
        <is>
          <t xml:space="preserve"/>
        </is>
      </c>
      <c r="N24" s="4" t="inlineStr">
        <is>
          <t xml:space="preserve"/>
        </is>
      </c>
      <c r="O24" s="4" t="inlineStr">
        <is>
          <t xml:space="preserve"/>
        </is>
      </c>
      <c r="P24" s="4" t="inlineStr">
        <is>
          <t xml:space="preserve"/>
        </is>
      </c>
      <c r="Q24" s="4" t="inlineStr">
        <is>
          <t xml:space="preserve"/>
        </is>
      </c>
      <c r="R24" s="4" t="inlineStr">
        <is>
          <t xml:space="preserve"/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xSplit="3" ySplit="1" topLeftCell="D2" activePane="bottomRigh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</cols>
  <sheetData>
    <row r="1">
      <c r="A1" s="1" t="inlineStr">
        <is>
          <t xml:space="preserve">cá</t>
        </is>
      </c>
      <c r="B1" s="2" t="inlineStr">
        <is>
          <t xml:space="preserve">ảnh</t>
        </is>
      </c>
      <c r="C1" s="2" t="inlineStr">
        <is>
          <t xml:space="preserve">tên</t>
        </is>
      </c>
      <c r="D1" s="1" t="inlineStr">
        <is>
          <t xml:space="preserve">finEdgeClear</t>
        </is>
      </c>
      <c r="E1" s="1" t="inlineStr">
        <is>
          <t xml:space="preserve">finRelief</t>
        </is>
      </c>
      <c r="F1" s="1" t="inlineStr">
        <is>
          <t xml:space="preserve">finTranslucency</t>
        </is>
      </c>
      <c r="G1" s="1" t="inlineStr">
        <is>
          <t xml:space="preserve">finBlack</t>
        </is>
      </c>
      <c r="H1" s="1" t="inlineStr">
        <is>
          <t xml:space="preserve">finBrightness</t>
        </is>
      </c>
      <c r="I1" s="1" t="inlineStr">
        <is>
          <t xml:space="preserve">finRimAlpha</t>
        </is>
      </c>
      <c r="J1" s="1" t="inlineStr">
        <is>
          <t xml:space="preserve">finRim</t>
        </is>
      </c>
      <c r="K1" s="1" t="inlineStr">
        <is>
          <t xml:space="preserve">caudalRim</t>
        </is>
      </c>
      <c r="L1" s="1" t="inlineStr">
        <is>
          <t xml:space="preserve">caudalStart</t>
        </is>
      </c>
    </row>
    <row r="2" ht="66" customHeight="1">
      <c r="A2" s="3" t="inlineStr">
        <is>
          <t xml:space="preserve">(mặc định)</t>
        </is>
      </c>
      <c r="B2" s="3" t="inlineStr">
        <is>
          <t xml:space="preserve"/>
        </is>
      </c>
      <c r="C2" s="3" t="inlineStr">
        <is>
          <t xml:space="preserve"/>
        </is>
      </c>
      <c r="D2" s="3">
        <v>0</v>
      </c>
      <c r="E2" s="3">
        <v>1</v>
      </c>
      <c r="F2" s="3">
        <v>0.8</v>
      </c>
      <c r="G2" s="3">
        <v>0</v>
      </c>
      <c r="H2" s="3">
        <v>1</v>
      </c>
      <c r="I2" s="3">
        <v>1</v>
      </c>
      <c r="J2" s="3" t="inlineStr">
        <is>
          <t xml:space="preserve">0.9, 1</t>
        </is>
      </c>
      <c r="K2" s="3" t="inlineStr">
        <is>
          <t xml:space="preserve">0.62, 0.8</t>
        </is>
      </c>
      <c r="L2" s="3">
        <v>0.55</v>
      </c>
    </row>
    <row r="3" ht="66" customHeight="1">
      <c r="A3" s="4" t="inlineStr">
        <is>
          <t xml:space="preserve">mẫu: MeshyColour</t>
        </is>
      </c>
      <c r="B3" s="3" t="inlineStr">
        <is>
          <t xml:space="preserve"/>
        </is>
      </c>
      <c r="C3" s="3" t="inlineStr">
        <is>
          <t xml:space="preserve"/>
        </is>
      </c>
      <c r="D3" s="4">
        <v>1</v>
      </c>
      <c r="E3" s="4">
        <v>0.8</v>
      </c>
      <c r="F3" s="4">
        <v>0.9</v>
      </c>
      <c r="G3" s="4">
        <v>0</v>
      </c>
      <c r="H3" s="4">
        <v>1</v>
      </c>
      <c r="I3" s="4">
        <v>0.85</v>
      </c>
      <c r="J3" s="4" t="inlineStr">
        <is>
          <t xml:space="preserve">0.55, 1</t>
        </is>
      </c>
      <c r="K3" s="4" t="inlineStr">
        <is>
          <t xml:space="preserve">0.6, 1</t>
        </is>
      </c>
      <c r="L3" s="4">
        <v>0.55</v>
      </c>
    </row>
    <row r="4" ht="66" customHeight="1">
      <c r="A4" s="4" t="inlineStr">
        <is>
          <t xml:space="preserve">BlackSamuraiBetta</t>
        </is>
      </c>
      <c r="B4" s="3">
        <f>IMAGE("https://pub-590970a58ce5426989b3bcd2897271b4.r2.dev/sheet-images/fish/black-samurai-betta.png?v=43252278")</f>
      </c>
      <c r="C4" s="3" t="inlineStr">
        <is>
          <t xml:space="preserve">Betta Samurai Đen</t>
        </is>
      </c>
      <c r="D4" s="4" t="inlineStr">
        <is>
          <t xml:space="preserve"/>
        </is>
      </c>
      <c r="E4" s="4" t="inlineStr">
        <is>
          <t xml:space="preserve"/>
        </is>
      </c>
      <c r="F4" s="4" t="inlineStr">
        <is>
          <t xml:space="preserve"/>
        </is>
      </c>
      <c r="G4" s="4" t="inlineStr">
        <is>
          <t xml:space="preserve"/>
        </is>
      </c>
      <c r="H4" s="4" t="inlineStr">
        <is>
          <t xml:space="preserve"/>
        </is>
      </c>
      <c r="I4" s="4" t="inlineStr">
        <is>
          <t xml:space="preserve"/>
        </is>
      </c>
      <c r="J4" s="4" t="inlineStr">
        <is>
          <t xml:space="preserve"/>
        </is>
      </c>
      <c r="K4" s="4" t="inlineStr">
        <is>
          <t xml:space="preserve"/>
        </is>
      </c>
      <c r="L4" s="4" t="inlineStr">
        <is>
          <t xml:space="preserve"/>
        </is>
      </c>
    </row>
    <row r="5" ht="66" customHeight="1">
      <c r="A5" s="4" t="inlineStr">
        <is>
          <t xml:space="preserve">BlueFlameBetta</t>
        </is>
      </c>
      <c r="B5" s="3">
        <f>IMAGE("https://pub-590970a58ce5426989b3bcd2897271b4.r2.dev/sheet-images/fish/blue-flame-betta.png?v=9950f4a4")</f>
      </c>
      <c r="C5" s="3" t="inlineStr">
        <is>
          <t xml:space="preserve">Blue Flame Betta</t>
        </is>
      </c>
      <c r="D5" s="4" t="inlineStr">
        <is>
          <t xml:space="preserve"/>
        </is>
      </c>
      <c r="E5" s="4" t="inlineStr">
        <is>
          <t xml:space="preserve"/>
        </is>
      </c>
      <c r="F5" s="4" t="inlineStr">
        <is>
          <t xml:space="preserve"/>
        </is>
      </c>
      <c r="G5" s="4" t="inlineStr">
        <is>
          <t xml:space="preserve"/>
        </is>
      </c>
      <c r="H5" s="4" t="inlineStr">
        <is>
          <t xml:space="preserve"/>
        </is>
      </c>
      <c r="I5" s="4" t="inlineStr">
        <is>
          <t xml:space="preserve"/>
        </is>
      </c>
      <c r="J5" s="4" t="inlineStr">
        <is>
          <t xml:space="preserve"/>
        </is>
      </c>
      <c r="K5" s="4" t="inlineStr">
        <is>
          <t xml:space="preserve"/>
        </is>
      </c>
      <c r="L5" s="4" t="inlineStr">
        <is>
          <t xml:space="preserve"/>
        </is>
      </c>
    </row>
    <row r="6" ht="66" customHeight="1">
      <c r="A6" s="4" t="inlineStr">
        <is>
          <t xml:space="preserve">BluePandaBetta</t>
        </is>
      </c>
      <c r="B6" s="3">
        <f>IMAGE("https://pub-590970a58ce5426989b3bcd2897271b4.r2.dev/sheet-images/fish/blue-panda-betta.png?v=1cbc3e15")</f>
      </c>
      <c r="C6" s="3" t="inlineStr">
        <is>
          <t xml:space="preserve">Betta Gấu Trúc Xanh</t>
        </is>
      </c>
      <c r="D6" s="4" t="inlineStr">
        <is>
          <t xml:space="preserve"/>
        </is>
      </c>
      <c r="E6" s="4" t="inlineStr">
        <is>
          <t xml:space="preserve"/>
        </is>
      </c>
      <c r="F6" s="4" t="inlineStr">
        <is>
          <t xml:space="preserve"/>
        </is>
      </c>
      <c r="G6" s="4" t="inlineStr">
        <is>
          <t xml:space="preserve"/>
        </is>
      </c>
      <c r="H6" s="4" t="inlineStr">
        <is>
          <t xml:space="preserve"/>
        </is>
      </c>
      <c r="I6" s="4" t="inlineStr">
        <is>
          <t xml:space="preserve"/>
        </is>
      </c>
      <c r="J6" s="4" t="inlineStr">
        <is>
          <t xml:space="preserve"/>
        </is>
      </c>
      <c r="K6" s="4" t="inlineStr">
        <is>
          <t xml:space="preserve"/>
        </is>
      </c>
      <c r="L6" s="4" t="inlineStr">
        <is>
          <t xml:space="preserve"/>
        </is>
      </c>
    </row>
    <row r="7" ht="66" customHeight="1">
      <c r="A7" s="4" t="inlineStr">
        <is>
          <t xml:space="preserve">BlueWildBetta</t>
        </is>
      </c>
      <c r="B7" s="3">
        <f>IMAGE("https://pub-590970a58ce5426989b3bcd2897271b4.r2.dev/sheet-images/fish/blue-wild-betta.png?v=e36e243b")</f>
      </c>
      <c r="C7" s="3" t="inlineStr">
        <is>
          <t xml:space="preserve">Betta Rồng Xanh</t>
        </is>
      </c>
      <c r="D7" s="4" t="inlineStr">
        <is>
          <t xml:space="preserve"/>
        </is>
      </c>
      <c r="E7" s="4" t="inlineStr">
        <is>
          <t xml:space="preserve"/>
        </is>
      </c>
      <c r="F7" s="4" t="inlineStr">
        <is>
          <t xml:space="preserve"/>
        </is>
      </c>
      <c r="G7" s="4" t="inlineStr">
        <is>
          <t xml:space="preserve"/>
        </is>
      </c>
      <c r="H7" s="4" t="inlineStr">
        <is>
          <t xml:space="preserve"/>
        </is>
      </c>
      <c r="I7" s="4" t="inlineStr">
        <is>
          <t xml:space="preserve"/>
        </is>
      </c>
      <c r="J7" s="4" t="inlineStr">
        <is>
          <t xml:space="preserve"/>
        </is>
      </c>
      <c r="K7" s="4" t="inlineStr">
        <is>
          <t xml:space="preserve"/>
        </is>
      </c>
      <c r="L7" s="4" t="inlineStr">
        <is>
          <t xml:space="preserve"/>
        </is>
      </c>
    </row>
    <row r="8" ht="66" customHeight="1">
      <c r="A8" s="4" t="inlineStr">
        <is>
          <t xml:space="preserve">ColorfulBetta</t>
        </is>
      </c>
      <c r="B8" s="3">
        <f>IMAGE("https://pub-590970a58ce5426989b3bcd2897271b4.r2.dev/sheet-images/fish/colorful-betta.png?v=5cc1541c")</f>
      </c>
      <c r="C8" s="3" t="inlineStr">
        <is>
          <t xml:space="preserve">Colorful Betta</t>
        </is>
      </c>
      <c r="D8" s="4" t="inlineStr">
        <is>
          <t xml:space="preserve"/>
        </is>
      </c>
      <c r="E8" s="4" t="inlineStr">
        <is>
          <t xml:space="preserve"/>
        </is>
      </c>
      <c r="F8" s="4" t="inlineStr">
        <is>
          <t xml:space="preserve"/>
        </is>
      </c>
      <c r="G8" s="4" t="inlineStr">
        <is>
          <t xml:space="preserve"/>
        </is>
      </c>
      <c r="H8" s="4" t="inlineStr">
        <is>
          <t xml:space="preserve"/>
        </is>
      </c>
      <c r="I8" s="4" t="inlineStr">
        <is>
          <t xml:space="preserve"/>
        </is>
      </c>
      <c r="J8" s="4" t="inlineStr">
        <is>
          <t xml:space="preserve"/>
        </is>
      </c>
      <c r="K8" s="4" t="inlineStr">
        <is>
          <t xml:space="preserve"/>
        </is>
      </c>
      <c r="L8" s="4" t="inlineStr">
        <is>
          <t xml:space="preserve"/>
        </is>
      </c>
    </row>
    <row r="9" ht="66" customHeight="1">
      <c r="A9" s="4" t="inlineStr">
        <is>
          <t xml:space="preserve">EmeraldRedBetta</t>
        </is>
      </c>
      <c r="B9" s="3">
        <f>IMAGE("https://pub-590970a58ce5426989b3bcd2897271b4.r2.dev/sheet-images/fish/emerald-red-betta.png?v=c2d27f6b")</f>
      </c>
      <c r="C9" s="3" t="inlineStr">
        <is>
          <t xml:space="preserve">Betta Lục Bảo Đỏ</t>
        </is>
      </c>
      <c r="D9" s="4" t="inlineStr">
        <is>
          <t xml:space="preserve"/>
        </is>
      </c>
      <c r="E9" s="4" t="inlineStr">
        <is>
          <t xml:space="preserve"/>
        </is>
      </c>
      <c r="F9" s="4" t="inlineStr">
        <is>
          <t xml:space="preserve"/>
        </is>
      </c>
      <c r="G9" s="4" t="inlineStr">
        <is>
          <t xml:space="preserve"/>
        </is>
      </c>
      <c r="H9" s="4" t="inlineStr">
        <is>
          <t xml:space="preserve"/>
        </is>
      </c>
      <c r="I9" s="4" t="inlineStr">
        <is>
          <t xml:space="preserve"/>
        </is>
      </c>
      <c r="J9" s="4" t="inlineStr">
        <is>
          <t xml:space="preserve"/>
        </is>
      </c>
      <c r="K9" s="4" t="inlineStr">
        <is>
          <t xml:space="preserve"/>
        </is>
      </c>
      <c r="L9" s="4" t="inlineStr">
        <is>
          <t xml:space="preserve"/>
        </is>
      </c>
    </row>
    <row r="10" ht="66" customHeight="1">
      <c r="A10" s="4" t="inlineStr">
        <is>
          <t xml:space="preserve">GalaxyBetta</t>
        </is>
      </c>
      <c r="B10" s="3">
        <f>IMAGE("https://pub-590970a58ce5426989b3bcd2897271b4.r2.dev/sheet-images/fish/galaxy-betta.png?v=ab617dcf")</f>
      </c>
      <c r="C10" s="3" t="inlineStr">
        <is>
          <t xml:space="preserve">Galaxy Betta</t>
        </is>
      </c>
      <c r="D10" s="4" t="inlineStr">
        <is>
          <t xml:space="preserve"/>
        </is>
      </c>
      <c r="E10" s="4" t="inlineStr">
        <is>
          <t xml:space="preserve"/>
        </is>
      </c>
      <c r="F10" s="4" t="inlineStr">
        <is>
          <t xml:space="preserve"/>
        </is>
      </c>
      <c r="G10" s="4" t="inlineStr">
        <is>
          <t xml:space="preserve"/>
        </is>
      </c>
      <c r="H10" s="4" t="inlineStr">
        <is>
          <t xml:space="preserve"/>
        </is>
      </c>
      <c r="I10" s="4" t="inlineStr">
        <is>
          <t xml:space="preserve"/>
        </is>
      </c>
      <c r="J10" s="4" t="inlineStr">
        <is>
          <t xml:space="preserve"/>
        </is>
      </c>
      <c r="K10" s="4" t="inlineStr">
        <is>
          <t xml:space="preserve"/>
        </is>
      </c>
      <c r="L10" s="4" t="inlineStr">
        <is>
          <t xml:space="preserve"/>
        </is>
      </c>
    </row>
    <row r="11" ht="66" customHeight="1">
      <c r="A11" s="4" t="inlineStr">
        <is>
          <t xml:space="preserve">GoldTigerBetta</t>
        </is>
      </c>
      <c r="B11" s="3">
        <f>IMAGE("https://pub-590970a58ce5426989b3bcd2897271b4.r2.dev/sheet-images/fish/gold-tiger-betta.png?v=b85cc880")</f>
      </c>
      <c r="C11" s="3" t="inlineStr">
        <is>
          <t xml:space="preserve">Betta Hổ Vàng</t>
        </is>
      </c>
      <c r="D11" s="4" t="inlineStr">
        <is>
          <t xml:space="preserve"/>
        </is>
      </c>
      <c r="E11" s="4" t="inlineStr">
        <is>
          <t xml:space="preserve"/>
        </is>
      </c>
      <c r="F11" s="4" t="inlineStr">
        <is>
          <t xml:space="preserve"/>
        </is>
      </c>
      <c r="G11" s="4" t="inlineStr">
        <is>
          <t xml:space="preserve"/>
        </is>
      </c>
      <c r="H11" s="4" t="inlineStr">
        <is>
          <t xml:space="preserve"/>
        </is>
      </c>
      <c r="I11" s="4" t="inlineStr">
        <is>
          <t xml:space="preserve"/>
        </is>
      </c>
      <c r="J11" s="4" t="inlineStr">
        <is>
          <t xml:space="preserve"/>
        </is>
      </c>
      <c r="K11" s="4" t="inlineStr">
        <is>
          <t xml:space="preserve"/>
        </is>
      </c>
      <c r="L11" s="4" t="inlineStr">
        <is>
          <t xml:space="preserve"/>
        </is>
      </c>
    </row>
    <row r="12" ht="66" customHeight="1">
      <c r="A12" s="4" t="inlineStr">
        <is>
          <t xml:space="preserve">KoiBetta</t>
        </is>
      </c>
      <c r="B12" s="3">
        <f>IMAGE("https://pub-590970a58ce5426989b3bcd2897271b4.r2.dev/sheet-images/fish/koi-betta.png?v=798a58a8")</f>
      </c>
      <c r="C12" s="3" t="inlineStr">
        <is>
          <t xml:space="preserve">Koi Betta</t>
        </is>
      </c>
      <c r="D12" s="4" t="inlineStr">
        <is>
          <t xml:space="preserve"/>
        </is>
      </c>
      <c r="E12" s="4" t="inlineStr">
        <is>
          <t xml:space="preserve"/>
        </is>
      </c>
      <c r="F12" s="4" t="inlineStr">
        <is>
          <t xml:space="preserve"/>
        </is>
      </c>
      <c r="G12" s="4" t="inlineStr">
        <is>
          <t xml:space="preserve"/>
        </is>
      </c>
      <c r="H12" s="4" t="inlineStr">
        <is>
          <t xml:space="preserve"/>
        </is>
      </c>
      <c r="I12" s="4" t="inlineStr">
        <is>
          <t xml:space="preserve"/>
        </is>
      </c>
      <c r="J12" s="4" t="inlineStr">
        <is>
          <t xml:space="preserve"/>
        </is>
      </c>
      <c r="K12" s="4" t="inlineStr">
        <is>
          <t xml:space="preserve"/>
        </is>
      </c>
      <c r="L12" s="4" t="inlineStr">
        <is>
          <t xml:space="preserve"/>
        </is>
      </c>
    </row>
    <row r="13" ht="66" customHeight="1">
      <c r="A13" s="4" t="inlineStr">
        <is>
          <t xml:space="preserve">KoiNemoRig</t>
        </is>
      </c>
      <c r="B13" s="3">
        <f>IMAGE("https://pub-590970a58ce5426989b3bcd2897271b4.r2.dev/sheet-images/fish/koi-nemo.png?v=f57fa2a7")</f>
      </c>
      <c r="C13" s="3" t="inlineStr">
        <is>
          <t xml:space="preserve">Koi Nemo Betta</t>
        </is>
      </c>
      <c r="D13" s="4">
        <v>1</v>
      </c>
      <c r="E13" s="4">
        <v>0.5</v>
      </c>
      <c r="F13" s="4">
        <v>1.2</v>
      </c>
      <c r="G13" s="4" t="inlineStr">
        <is>
          <t xml:space="preserve"/>
        </is>
      </c>
      <c r="H13" s="4" t="inlineStr">
        <is>
          <t xml:space="preserve"/>
        </is>
      </c>
      <c r="I13" s="4">
        <v>0.6</v>
      </c>
      <c r="J13" s="4" t="inlineStr">
        <is>
          <t xml:space="preserve">0.55, 1</t>
        </is>
      </c>
      <c r="K13" s="4" t="inlineStr">
        <is>
          <t xml:space="preserve">0.3, 0.8</t>
        </is>
      </c>
      <c r="L13" s="4">
        <v>0.55</v>
      </c>
    </row>
    <row r="14" ht="66" customHeight="1">
      <c r="A14" s="4" t="inlineStr">
        <is>
          <t xml:space="preserve">NemoKoiBetta</t>
        </is>
      </c>
      <c r="B14" s="3">
        <f>IMAGE("https://pub-590970a58ce5426989b3bcd2897271b4.r2.dev/sheet-images/fish/nemo-koi-betta.png?v=0a139958")</f>
      </c>
      <c r="C14" s="3" t="inlineStr">
        <is>
          <t xml:space="preserve">Nemo Koi Betta</t>
        </is>
      </c>
      <c r="D14" s="4" t="inlineStr">
        <is>
          <t xml:space="preserve"/>
        </is>
      </c>
      <c r="E14" s="4" t="inlineStr">
        <is>
          <t xml:space="preserve"/>
        </is>
      </c>
      <c r="F14" s="4" t="inlineStr">
        <is>
          <t xml:space="preserve"/>
        </is>
      </c>
      <c r="G14" s="4" t="inlineStr">
        <is>
          <t xml:space="preserve"/>
        </is>
      </c>
      <c r="H14" s="4" t="inlineStr">
        <is>
          <t xml:space="preserve"/>
        </is>
      </c>
      <c r="I14" s="4" t="inlineStr">
        <is>
          <t xml:space="preserve"/>
        </is>
      </c>
      <c r="J14" s="4" t="inlineStr">
        <is>
          <t xml:space="preserve"/>
        </is>
      </c>
      <c r="K14" s="4" t="inlineStr">
        <is>
          <t xml:space="preserve"/>
        </is>
      </c>
      <c r="L14" s="4" t="inlineStr">
        <is>
          <t xml:space="preserve"/>
        </is>
      </c>
    </row>
    <row r="15" ht="66" customHeight="1">
      <c r="A15" s="4" t="inlineStr">
        <is>
          <t xml:space="preserve">Plakat</t>
        </is>
      </c>
      <c r="B15" s="3">
        <f>IMAGE("https://pub-590970a58ce5426989b3bcd2897271b4.r2.dev/sheet-images/fish/plakat.png?v=d3f82500")</f>
      </c>
      <c r="C15" s="3" t="inlineStr">
        <is>
          <t xml:space="preserve">Plakat Koi</t>
        </is>
      </c>
      <c r="D15" s="4">
        <v>1</v>
      </c>
      <c r="E15" s="4">
        <v>0.5</v>
      </c>
      <c r="F15" s="4">
        <v>1.2</v>
      </c>
      <c r="G15" s="4" t="inlineStr">
        <is>
          <t xml:space="preserve"/>
        </is>
      </c>
      <c r="H15" s="4" t="inlineStr">
        <is>
          <t xml:space="preserve"/>
        </is>
      </c>
      <c r="I15" s="4">
        <v>0.6</v>
      </c>
      <c r="J15" s="4" t="inlineStr">
        <is>
          <t xml:space="preserve">0.55, 1</t>
        </is>
      </c>
      <c r="K15" s="4" t="inlineStr">
        <is>
          <t xml:space="preserve">0.3, 0.8</t>
        </is>
      </c>
      <c r="L15" s="4">
        <v>0.55</v>
      </c>
    </row>
    <row r="16" ht="66" customHeight="1">
      <c r="A16" s="4" t="inlineStr">
        <is>
          <t xml:space="preserve">PlakatGalaxy</t>
        </is>
      </c>
      <c r="B16" s="3">
        <f>IMAGE("https://pub-590970a58ce5426989b3bcd2897271b4.r2.dev/sheet-images/fish/plakat-galaxy.png?v=a66df8df")</f>
      </c>
      <c r="C16" s="3" t="inlineStr">
        <is>
          <t xml:space="preserve">Koi Galaxy Betta</t>
        </is>
      </c>
      <c r="D16" s="4">
        <v>1</v>
      </c>
      <c r="E16" s="4">
        <v>0.5</v>
      </c>
      <c r="F16" s="4">
        <v>1.2</v>
      </c>
      <c r="G16" s="4">
        <v>1</v>
      </c>
      <c r="H16" s="4">
        <v>1.8</v>
      </c>
      <c r="I16" s="4">
        <v>0.6</v>
      </c>
      <c r="J16" s="4" t="inlineStr">
        <is>
          <t xml:space="preserve">0.55, 1</t>
        </is>
      </c>
      <c r="K16" s="4" t="inlineStr">
        <is>
          <t xml:space="preserve">0.3, 0.8</t>
        </is>
      </c>
      <c r="L16" s="4">
        <v>0.72</v>
      </c>
    </row>
    <row r="17" ht="66" customHeight="1">
      <c r="A17" s="4" t="inlineStr">
        <is>
          <t xml:space="preserve">PurpleMoonBetta</t>
        </is>
      </c>
      <c r="B17" s="3">
        <f>IMAGE("https://pub-590970a58ce5426989b3bcd2897271b4.r2.dev/sheet-images/fish/purple-moon-betta.png?v=f988dcb3")</f>
      </c>
      <c r="C17" s="3" t="inlineStr">
        <is>
          <t xml:space="preserve">Betta Trăng Tím</t>
        </is>
      </c>
      <c r="D17" s="4" t="inlineStr">
        <is>
          <t xml:space="preserve"/>
        </is>
      </c>
      <c r="E17" s="4" t="inlineStr">
        <is>
          <t xml:space="preserve"/>
        </is>
      </c>
      <c r="F17" s="4" t="inlineStr">
        <is>
          <t xml:space="preserve"/>
        </is>
      </c>
      <c r="G17" s="4" t="inlineStr">
        <is>
          <t xml:space="preserve"/>
        </is>
      </c>
      <c r="H17" s="4" t="inlineStr">
        <is>
          <t xml:space="preserve"/>
        </is>
      </c>
      <c r="I17" s="4" t="inlineStr">
        <is>
          <t xml:space="preserve"/>
        </is>
      </c>
      <c r="J17" s="4" t="inlineStr">
        <is>
          <t xml:space="preserve"/>
        </is>
      </c>
      <c r="K17" s="4" t="inlineStr">
        <is>
          <t xml:space="preserve"/>
        </is>
      </c>
      <c r="L17" s="4" t="inlineStr">
        <is>
          <t xml:space="preserve"/>
        </is>
      </c>
    </row>
    <row r="18" ht="66" customHeight="1">
      <c r="A18" s="4" t="inlineStr">
        <is>
          <t xml:space="preserve">PurpleRubyBetta</t>
        </is>
      </c>
      <c r="B18" s="3">
        <f>IMAGE("https://pub-590970a58ce5426989b3bcd2897271b4.r2.dev/sheet-images/fish/purple-ruby-betta.png?v=8b2a77a6")</f>
      </c>
      <c r="C18" s="3" t="inlineStr">
        <is>
          <t xml:space="preserve">Betta Hồng Ngọc Tím</t>
        </is>
      </c>
      <c r="D18" s="4" t="inlineStr">
        <is>
          <t xml:space="preserve"/>
        </is>
      </c>
      <c r="E18" s="4" t="inlineStr">
        <is>
          <t xml:space="preserve"/>
        </is>
      </c>
      <c r="F18" s="4" t="inlineStr">
        <is>
          <t xml:space="preserve"/>
        </is>
      </c>
      <c r="G18" s="4" t="inlineStr">
        <is>
          <t xml:space="preserve"/>
        </is>
      </c>
      <c r="H18" s="4" t="inlineStr">
        <is>
          <t xml:space="preserve"/>
        </is>
      </c>
      <c r="I18" s="4" t="inlineStr">
        <is>
          <t xml:space="preserve"/>
        </is>
      </c>
      <c r="J18" s="4" t="inlineStr">
        <is>
          <t xml:space="preserve"/>
        </is>
      </c>
      <c r="K18" s="4" t="inlineStr">
        <is>
          <t xml:space="preserve"/>
        </is>
      </c>
      <c r="L18" s="4" t="inlineStr">
        <is>
          <t xml:space="preserve"/>
        </is>
      </c>
    </row>
    <row r="19" ht="66" customHeight="1">
      <c r="A19" s="4" t="inlineStr">
        <is>
          <t xml:space="preserve">RedSteelBetta</t>
        </is>
      </c>
      <c r="B19" s="3">
        <f>IMAGE("https://pub-590970a58ce5426989b3bcd2897271b4.r2.dev/sheet-images/fish/red-steel-betta.png?v=e29f7895")</f>
      </c>
      <c r="C19" s="3" t="inlineStr">
        <is>
          <t xml:space="preserve">Red Steel Betta</t>
        </is>
      </c>
      <c r="D19" s="4" t="inlineStr">
        <is>
          <t xml:space="preserve"/>
        </is>
      </c>
      <c r="E19" s="4" t="inlineStr">
        <is>
          <t xml:space="preserve"/>
        </is>
      </c>
      <c r="F19" s="4" t="inlineStr">
        <is>
          <t xml:space="preserve"/>
        </is>
      </c>
      <c r="G19" s="4" t="inlineStr">
        <is>
          <t xml:space="preserve"/>
        </is>
      </c>
      <c r="H19" s="4" t="inlineStr">
        <is>
          <t xml:space="preserve"/>
        </is>
      </c>
      <c r="I19" s="4" t="inlineStr">
        <is>
          <t xml:space="preserve"/>
        </is>
      </c>
      <c r="J19" s="4" t="inlineStr">
        <is>
          <t xml:space="preserve"/>
        </is>
      </c>
      <c r="K19" s="4" t="inlineStr">
        <is>
          <t xml:space="preserve"/>
        </is>
      </c>
      <c r="L19" s="4" t="inlineStr">
        <is>
          <t xml:space="preserve"/>
        </is>
      </c>
    </row>
    <row r="20" ht="66" customHeight="1">
      <c r="A20" s="4" t="inlineStr">
        <is>
          <t xml:space="preserve">RoyalKoiBetta</t>
        </is>
      </c>
      <c r="B20" s="3">
        <f>IMAGE("https://pub-590970a58ce5426989b3bcd2897271b4.r2.dev/sheet-images/fish/royal-koi-betta.png?v=413784be")</f>
      </c>
      <c r="C20" s="3" t="inlineStr">
        <is>
          <t xml:space="preserve">Royal Koi</t>
        </is>
      </c>
      <c r="D20" s="4" t="inlineStr">
        <is>
          <t xml:space="preserve"/>
        </is>
      </c>
      <c r="E20" s="4" t="inlineStr">
        <is>
          <t xml:space="preserve"/>
        </is>
      </c>
      <c r="F20" s="4" t="inlineStr">
        <is>
          <t xml:space="preserve"/>
        </is>
      </c>
      <c r="G20" s="4" t="inlineStr">
        <is>
          <t xml:space="preserve"/>
        </is>
      </c>
      <c r="H20" s="4" t="inlineStr">
        <is>
          <t xml:space="preserve"/>
        </is>
      </c>
      <c r="I20" s="4" t="inlineStr">
        <is>
          <t xml:space="preserve"/>
        </is>
      </c>
      <c r="J20" s="4" t="inlineStr">
        <is>
          <t xml:space="preserve"/>
        </is>
      </c>
      <c r="K20" s="4" t="inlineStr">
        <is>
          <t xml:space="preserve"/>
        </is>
      </c>
      <c r="L20" s="4" t="inlineStr">
        <is>
          <t xml:space="preserve"/>
        </is>
      </c>
    </row>
    <row r="21" ht="66" customHeight="1">
      <c r="A21" s="4" t="inlineStr">
        <is>
          <t xml:space="preserve">SkyKoiBetta</t>
        </is>
      </c>
      <c r="B21" s="3">
        <f>IMAGE("https://pub-590970a58ce5426989b3bcd2897271b4.r2.dev/sheet-images/fish/sky-koi-betta.png?v=974c7f77")</f>
      </c>
      <c r="C21" s="3" t="inlineStr">
        <is>
          <t xml:space="preserve">Sky Koi Betta</t>
        </is>
      </c>
      <c r="D21" s="4" t="inlineStr">
        <is>
          <t xml:space="preserve"/>
        </is>
      </c>
      <c r="E21" s="4" t="inlineStr">
        <is>
          <t xml:space="preserve"/>
        </is>
      </c>
      <c r="F21" s="4" t="inlineStr">
        <is>
          <t xml:space="preserve"/>
        </is>
      </c>
      <c r="G21" s="4" t="inlineStr">
        <is>
          <t xml:space="preserve"/>
        </is>
      </c>
      <c r="H21" s="4" t="inlineStr">
        <is>
          <t xml:space="preserve"/>
        </is>
      </c>
      <c r="I21" s="4" t="inlineStr">
        <is>
          <t xml:space="preserve"/>
        </is>
      </c>
      <c r="J21" s="4" t="inlineStr">
        <is>
          <t xml:space="preserve"/>
        </is>
      </c>
      <c r="K21" s="4" t="inlineStr">
        <is>
          <t xml:space="preserve"/>
        </is>
      </c>
      <c r="L21" s="4" t="inlineStr">
        <is>
          <t xml:space="preserve"/>
        </is>
      </c>
    </row>
    <row r="22" ht="66" customHeight="1">
      <c r="A22" s="4" t="inlineStr">
        <is>
          <t xml:space="preserve">SkyKoiBettaM4</t>
        </is>
      </c>
      <c r="B22" s="3">
        <f>IMAGE("https://pub-590970a58ce5426989b3bcd2897271b4.r2.dev/sheet-images/fish/sky-koi-betta-m4.png?v=099e8b9d")</f>
      </c>
      <c r="C22" s="3" t="inlineStr">
        <is>
          <t xml:space="preserve">Sky Koi Betta M4</t>
        </is>
      </c>
      <c r="D22" s="4" t="inlineStr">
        <is>
          <t xml:space="preserve"/>
        </is>
      </c>
      <c r="E22" s="4" t="inlineStr">
        <is>
          <t xml:space="preserve"/>
        </is>
      </c>
      <c r="F22" s="4" t="inlineStr">
        <is>
          <t xml:space="preserve"/>
        </is>
      </c>
      <c r="G22" s="4" t="inlineStr">
        <is>
          <t xml:space="preserve"/>
        </is>
      </c>
      <c r="H22" s="4" t="inlineStr">
        <is>
          <t xml:space="preserve"/>
        </is>
      </c>
      <c r="I22" s="4" t="inlineStr">
        <is>
          <t xml:space="preserve"/>
        </is>
      </c>
      <c r="J22" s="4" t="inlineStr">
        <is>
          <t xml:space="preserve"/>
        </is>
      </c>
      <c r="K22" s="4" t="inlineStr">
        <is>
          <t xml:space="preserve"/>
        </is>
      </c>
      <c r="L22" s="4" t="inlineStr">
        <is>
          <t xml:space="preserve"/>
        </is>
      </c>
    </row>
    <row r="23" ht="66" customHeight="1">
      <c r="A23" s="4" t="inlineStr">
        <is>
          <t xml:space="preserve">TealWhiteBetta</t>
        </is>
      </c>
      <c r="B23" s="3">
        <f>IMAGE("https://pub-590970a58ce5426989b3bcd2897271b4.r2.dev/sheet-images/fish/teal-white-betta.png?v=a25361f1")</f>
      </c>
      <c r="C23" s="3" t="inlineStr">
        <is>
          <t xml:space="preserve">Betta Trắng Ngọc Lam</t>
        </is>
      </c>
      <c r="D23" s="4" t="inlineStr">
        <is>
          <t xml:space="preserve"/>
        </is>
      </c>
      <c r="E23" s="4" t="inlineStr">
        <is>
          <t xml:space="preserve"/>
        </is>
      </c>
      <c r="F23" s="4" t="inlineStr">
        <is>
          <t xml:space="preserve"/>
        </is>
      </c>
      <c r="G23" s="4" t="inlineStr">
        <is>
          <t xml:space="preserve"/>
        </is>
      </c>
      <c r="H23" s="4" t="inlineStr">
        <is>
          <t xml:space="preserve"/>
        </is>
      </c>
      <c r="I23" s="4" t="inlineStr">
        <is>
          <t xml:space="preserve"/>
        </is>
      </c>
      <c r="J23" s="4" t="inlineStr">
        <is>
          <t xml:space="preserve"/>
        </is>
      </c>
      <c r="K23" s="4" t="inlineStr">
        <is>
          <t xml:space="preserve"/>
        </is>
      </c>
      <c r="L23" s="4" t="inlineStr">
        <is>
          <t xml:space="preserve"/>
        </is>
      </c>
    </row>
    <row r="24" ht="66" customHeight="1">
      <c r="A24" s="4" t="inlineStr">
        <is>
          <t xml:space="preserve">YellowKoiBetta</t>
        </is>
      </c>
      <c r="B24" s="3">
        <f>IMAGE("https://pub-590970a58ce5426989b3bcd2897271b4.r2.dev/sheet-images/fish/yellow-koi-betta.png?v=c8debce1")</f>
      </c>
      <c r="C24" s="3" t="inlineStr">
        <is>
          <t xml:space="preserve">Betta Koi Vàng</t>
        </is>
      </c>
      <c r="D24" s="4" t="inlineStr">
        <is>
          <t xml:space="preserve"/>
        </is>
      </c>
      <c r="E24" s="4" t="inlineStr">
        <is>
          <t xml:space="preserve"/>
        </is>
      </c>
      <c r="F24" s="4" t="inlineStr">
        <is>
          <t xml:space="preserve"/>
        </is>
      </c>
      <c r="G24" s="4" t="inlineStr">
        <is>
          <t xml:space="preserve"/>
        </is>
      </c>
      <c r="H24" s="4" t="inlineStr">
        <is>
          <t xml:space="preserve"/>
        </is>
      </c>
      <c r="I24" s="4" t="inlineStr">
        <is>
          <t xml:space="preserve"/>
        </is>
      </c>
      <c r="J24" s="4" t="inlineStr">
        <is>
          <t xml:space="preserve"/>
        </is>
      </c>
      <c r="K24" s="4" t="inlineStr">
        <is>
          <t xml:space="preserve"/>
        </is>
      </c>
      <c r="L24" s="4" t="inlineStr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  <col min="6" max="6" width="26" customWidth="1"/>
    <col min="7" max="7" width="8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  <c r="F1" s="2" t="inlineStr">
        <is>
          <t xml:space="preserve">kích thước (R × C × S)</t>
        </is>
      </c>
      <c r="G1" s="2" t="inlineStr">
        <is>
          <t xml:space="preserve">điểm</t>
        </is>
      </c>
    </row>
    <row r="2" ht="66" customHeight="1">
      <c r="A2" s="4" t="inlineStr">
        <is>
          <t xml:space="preserve">wood-short</t>
        </is>
      </c>
      <c r="B2" s="3">
        <f>IMAGE("https://pub-590970a58ce5426989b3bcd2897271b4.r2.dev/sheet-images/decor/wood-short.png?v=9cb581d6")</f>
      </c>
      <c r="C2" s="4" t="inlineStr">
        <is>
          <t xml:space="preserve">Lũa khúc ngắn</t>
        </is>
      </c>
      <c r="D2" s="4" t="inlineStr">
        <is>
          <t xml:space="preserve">Lũa tự nhiên · Có 3 vị trí gắn ráy, dương xỉ hoặc rêu</t>
        </is>
      </c>
      <c r="E2" s="4">
        <v>120</v>
      </c>
      <c r="F2" s="3" t="inlineStr">
        <is>
          <t xml:space="preserve">0.32 × 0.12 × 0.20</t>
        </is>
      </c>
      <c r="G2" s="3">
        <v>1</v>
      </c>
    </row>
    <row r="3" ht="66" customHeight="1">
      <c r="A3" s="4" t="inlineStr">
        <is>
          <t xml:space="preserve">wood-long</t>
        </is>
      </c>
      <c r="B3" s="3">
        <f>IMAGE("https://pub-590970a58ce5426989b3bcd2897271b4.r2.dev/sheet-images/decor/wood-long.png?v=1735bbac")</f>
      </c>
      <c r="C3" s="4" t="inlineStr">
        <is>
          <t xml:space="preserve">Lũa thân dài</t>
        </is>
      </c>
      <c r="D3" s="4" t="inlineStr">
        <is>
          <t xml:space="preserve">Lũa tự nhiên · Có 3 vị trí gắn ráy, dương xỉ hoặc rêu</t>
        </is>
      </c>
      <c r="E3" s="4">
        <v>180</v>
      </c>
      <c r="F3" s="3" t="inlineStr">
        <is>
          <t xml:space="preserve">0.74 × 0.25 × 0.34</t>
        </is>
      </c>
      <c r="G3" s="3">
        <v>1</v>
      </c>
    </row>
    <row r="4" ht="66" customHeight="1">
      <c r="A4" s="4" t="inlineStr">
        <is>
          <t xml:space="preserve">wood-arch</t>
        </is>
      </c>
      <c r="B4" s="3">
        <f>IMAGE("https://pub-590970a58ce5426989b3bcd2897271b4.r2.dev/sheet-images/decor/wood-arch.png?v=706da181")</f>
      </c>
      <c r="C4" s="4" t="inlineStr">
        <is>
          <t xml:space="preserve">Lũa cong</t>
        </is>
      </c>
      <c r="D4" s="4" t="inlineStr">
        <is>
          <t xml:space="preserve">Lũa tự nhiên · Có 3 vị trí gắn ráy, dương xỉ hoặc rêu</t>
        </is>
      </c>
      <c r="E4" s="4">
        <v>200</v>
      </c>
      <c r="F4" s="3" t="inlineStr">
        <is>
          <t xml:space="preserve">0.75 × 0.28 × 0.25</t>
        </is>
      </c>
      <c r="G4" s="3">
        <v>1</v>
      </c>
    </row>
    <row r="5" ht="66" customHeight="1">
      <c r="A5" s="4" t="inlineStr">
        <is>
          <t xml:space="preserve">wood-branches</t>
        </is>
      </c>
      <c r="B5" s="3">
        <f>IMAGE("https://pub-590970a58ce5426989b3bcd2897271b4.r2.dev/sheet-images/decor/wood-branches.png?v=e6c8a6d2")</f>
      </c>
      <c r="C5" s="4" t="inlineStr">
        <is>
          <t xml:space="preserve">Lũa phân nhánh</t>
        </is>
      </c>
      <c r="D5" s="4" t="inlineStr">
        <is>
          <t xml:space="preserve">Lũa tự nhiên · Có 3 vị trí gắn ráy, dương xỉ hoặc rêu</t>
        </is>
      </c>
      <c r="E5" s="4">
        <v>230</v>
      </c>
      <c r="F5" s="3" t="inlineStr">
        <is>
          <t xml:space="preserve">0.29 × 0.43 × 0.17</t>
        </is>
      </c>
      <c r="G5" s="3">
        <v>1</v>
      </c>
    </row>
    <row r="6" ht="66" customHeight="1">
      <c r="A6" s="4" t="inlineStr">
        <is>
          <t xml:space="preserve">wood-roots</t>
        </is>
      </c>
      <c r="B6" s="3">
        <f>IMAGE("https://pub-590970a58ce5426989b3bcd2897271b4.r2.dev/sheet-images/decor/wood-roots.png?v=ea4ef16e")</f>
      </c>
      <c r="C6" s="4" t="inlineStr">
        <is>
          <t xml:space="preserve">Lũa chùm rễ</t>
        </is>
      </c>
      <c r="D6" s="4" t="inlineStr">
        <is>
          <t xml:space="preserve">Lũa tự nhiên · Có 3 vị trí gắn ráy, dương xỉ hoặc rêu</t>
        </is>
      </c>
      <c r="E6" s="4">
        <v>250</v>
      </c>
      <c r="F6" s="3" t="inlineStr">
        <is>
          <t xml:space="preserve">0.38 × 0.38 × 0.40</t>
        </is>
      </c>
      <c r="G6" s="3">
        <v>1</v>
      </c>
    </row>
    <row r="7" ht="66" customHeight="1">
      <c r="A7" s="4" t="inlineStr">
        <is>
          <t xml:space="preserve">wood-stump</t>
        </is>
      </c>
      <c r="B7" s="3">
        <f>IMAGE("https://pub-590970a58ce5426989b3bcd2897271b4.r2.dev/sheet-images/decor/wood-stump.png?v=a984c7ad")</f>
      </c>
      <c r="C7" s="4" t="inlineStr">
        <is>
          <t xml:space="preserve">Lũa gốc cây</t>
        </is>
      </c>
      <c r="D7" s="4" t="inlineStr">
        <is>
          <t xml:space="preserve">Lũa tự nhiên · Có 3 vị trí gắn ráy, dương xỉ hoặc rêu</t>
        </is>
      </c>
      <c r="E7" s="4">
        <v>220</v>
      </c>
      <c r="F7" s="3" t="inlineStr">
        <is>
          <t xml:space="preserve">0.27 × 0.29 × 0.28</t>
        </is>
      </c>
      <c r="G7" s="3">
        <v>1</v>
      </c>
    </row>
    <row r="8" ht="66" customHeight="1">
      <c r="A8" s="4" t="inlineStr">
        <is>
          <t xml:space="preserve">wood-linh-sam</t>
        </is>
      </c>
      <c r="B8" s="3">
        <f>IMAGE("https://pub-590970a58ce5426989b3bcd2897271b4.r2.dev/sheet-images/decor/wood-linh-sam.png?v=0ef0d520")</f>
      </c>
      <c r="C8" s="4" t="inlineStr">
        <is>
          <t xml:space="preserve">Lũa Linh Sam</t>
        </is>
      </c>
      <c r="D8" s="4" t="inlineStr">
        <is>
          <t xml:space="preserve">Gỗ cứng nâu đen, vân xoắn, chìm ngay · Có 3 vị trí gắn cây hoặc rêu</t>
        </is>
      </c>
      <c r="E8" s="4">
        <v>220</v>
      </c>
      <c r="F8" s="3" t="inlineStr">
        <is>
          <t xml:space="preserve">0.55 × 0.52 × 0.30</t>
        </is>
      </c>
      <c r="G8" s="3">
        <v>1</v>
      </c>
    </row>
    <row r="9" ht="66" customHeight="1">
      <c r="A9" s="4" t="inlineStr">
        <is>
          <t xml:space="preserve">wood-hai-son-tung</t>
        </is>
      </c>
      <c r="B9" s="3">
        <f>IMAGE("https://pub-590970a58ce5426989b3bcd2897271b4.r2.dev/sheet-images/decor/wood-hai-son-tung.png?v=260e165d")</f>
      </c>
      <c r="C9" s="4" t="inlineStr">
        <is>
          <t xml:space="preserve">Lũa Hải Sơn Tùng</t>
        </is>
      </c>
      <c r="D9" s="4" t="inlineStr">
        <is>
          <t xml:space="preserve">Nhiều nhánh nhỏ khẳng khiu, hợp làm tán cây hoặc rừng cây · Có 3 vị trí gắn</t>
        </is>
      </c>
      <c r="E9" s="4">
        <v>240</v>
      </c>
      <c r="F9" s="3" t="inlineStr">
        <is>
          <t xml:space="preserve">0.28 × 0.69 × 0.26</t>
        </is>
      </c>
      <c r="G9" s="3">
        <v>1</v>
      </c>
    </row>
    <row r="10" ht="66" customHeight="1">
      <c r="A10" s="4" t="inlineStr">
        <is>
          <t xml:space="preserve">wood-do-quyen</t>
        </is>
      </c>
      <c r="B10" s="3">
        <f>IMAGE("https://pub-590970a58ce5426989b3bcd2897271b4.r2.dev/sheet-images/decor/wood-do-quyen.png?v=85838f52")</f>
      </c>
      <c r="C10" s="4" t="inlineStr">
        <is>
          <t xml:space="preserve">Lũa Đỗ Quyên</t>
        </is>
      </c>
      <c r="D10" s="4" t="inlineStr">
        <is>
          <t xml:space="preserve">Thân mịn uốn lượn, vàng sáng chuyển nâu đỏ · Hợp bố cục chữ V · Có 3 vị trí gắn</t>
        </is>
      </c>
      <c r="E10" s="4">
        <v>230</v>
      </c>
      <c r="F10" s="3" t="inlineStr">
        <is>
          <t xml:space="preserve">0.93 × 0.50 × 0.57</t>
        </is>
      </c>
      <c r="G10" s="3">
        <v>1</v>
      </c>
    </row>
    <row r="11" ht="66" customHeight="1">
      <c r="A11" s="4" t="inlineStr">
        <is>
          <t xml:space="preserve">wood-spider</t>
        </is>
      </c>
      <c r="B11" s="3">
        <f>IMAGE("https://pub-590970a58ce5426989b3bcd2897271b4.r2.dev/sheet-images/decor/wood-spider.png?v=bf740eaa")</f>
      </c>
      <c r="C11" s="4" t="inlineStr">
        <is>
          <t xml:space="preserve">Lũa Spider</t>
        </is>
      </c>
      <c r="D11" s="4" t="inlineStr">
        <is>
          <t xml:space="preserve">Chùm rễ tua tủa tỏa từ một gốc nhỏ · Có 3 vị trí gắn cây hoặc rêu</t>
        </is>
      </c>
      <c r="E11" s="4">
        <v>190</v>
      </c>
      <c r="F11" s="3" t="inlineStr">
        <is>
          <t xml:space="preserve">0.56 × 0.31 × 0.54</t>
        </is>
      </c>
      <c r="G11" s="3">
        <v>1</v>
      </c>
    </row>
    <row r="12" ht="66" customHeight="1">
      <c r="A12" s="4" t="inlineStr">
        <is>
          <t xml:space="preserve">wood-san-da</t>
        </is>
      </c>
      <c r="B12" s="3">
        <f>IMAGE("https://pub-590970a58ce5426989b3bcd2897271b4.r2.dev/sheet-images/decor/wood-san-da.png?v=6004c25c")</f>
      </c>
      <c r="C12" s="4" t="inlineStr">
        <is>
          <t xml:space="preserve">Lũa Săn Đá</t>
        </is>
      </c>
      <c r="D12" s="4" t="inlineStr">
        <is>
          <t xml:space="preserve">Gỗ nặng, gân guốc nứt nẻ như đá, hợp phối cùng đá · Có 3 vị trí gắn</t>
        </is>
      </c>
      <c r="E12" s="4">
        <v>250</v>
      </c>
      <c r="F12" s="3" t="inlineStr">
        <is>
          <t xml:space="preserve">0.37 × 0.52 × 0.34</t>
        </is>
      </c>
      <c r="G12" s="3">
        <v>1</v>
      </c>
    </row>
    <row r="13" ht="66" customHeight="1">
      <c r="A13" s="4" t="inlineStr">
        <is>
          <t xml:space="preserve">wood-mopani</t>
        </is>
      </c>
      <c r="B13" s="3">
        <f>IMAGE("https://pub-590970a58ce5426989b3bcd2897271b4.r2.dev/sheet-images/decor/wood-mopani.png?v=3e1decf6")</f>
      </c>
      <c r="C13" s="4" t="inlineStr">
        <is>
          <t xml:space="preserve">Lũa Mopani</t>
        </is>
      </c>
      <c r="D13" s="4" t="inlineStr">
        <is>
          <t xml:space="preserve">Khối gỗ dày hai màu sáng tối, chìm ngay · Có 3 vị trí gắn cây hoặc rêu</t>
        </is>
      </c>
      <c r="E13" s="4">
        <v>260</v>
      </c>
      <c r="F13" s="3" t="inlineStr">
        <is>
          <t xml:space="preserve">0.29 × 0.37 × 0.29</t>
        </is>
      </c>
      <c r="G13" s="3">
        <v>1</v>
      </c>
    </row>
    <row r="14" ht="66" customHeight="1">
      <c r="A14" s="4" t="inlineStr">
        <is>
          <t xml:space="preserve">wood-tra-gung</t>
        </is>
      </c>
      <c r="B14" s="3">
        <f>IMAGE("https://pub-590970a58ce5426989b3bcd2897271b4.r2.dev/sheet-images/decor/wood-tra-gung.png?v=f0ddf9d2")</f>
      </c>
      <c r="C14" s="4" t="inlineStr">
        <is>
          <t xml:space="preserve">Lũa Trà Gừng</t>
        </is>
      </c>
      <c r="D14" s="4" t="inlineStr">
        <is>
          <t xml:space="preserve">Nhánh nhỏ đan chằng chịt, gọn cho hồ mini · Có 3 vị trí gắn</t>
        </is>
      </c>
      <c r="E14" s="4">
        <v>120</v>
      </c>
      <c r="F14" s="3" t="inlineStr">
        <is>
          <t xml:space="preserve">0.22 × 0.26 × 0.11</t>
        </is>
      </c>
      <c r="G14" s="3">
        <v>1</v>
      </c>
    </row>
    <row r="15" ht="66" customHeight="1">
      <c r="A15" s="4" t="inlineStr">
        <is>
          <t xml:space="preserve">wood-bonsai</t>
        </is>
      </c>
      <c r="B15" s="3">
        <f>IMAGE("https://pub-590970a58ce5426989b3bcd2897271b4.r2.dev/sheet-images/decor/wood-bonsai.png?v=2b774f12")</f>
      </c>
      <c r="C15" s="4" t="inlineStr">
        <is>
          <t xml:space="preserve">Lũa Bonsai</t>
        </is>
      </c>
      <c r="D15" s="4" t="inlineStr">
        <is>
          <t xml:space="preserve">Dáng cổ thụ thu nhỏ: thân uốn chữ S, tầng cành xòe ngang · Có 3 vị trí gắn</t>
        </is>
      </c>
      <c r="E15" s="4">
        <v>320</v>
      </c>
      <c r="F15" s="3" t="inlineStr">
        <is>
          <t xml:space="preserve">0.26 × 0.57 × 0.35</t>
        </is>
      </c>
      <c r="G15" s="3">
        <v>1</v>
      </c>
    </row>
    <row r="16" ht="66" customHeight="1">
      <c r="A16" s="4" t="inlineStr">
        <is>
          <t xml:space="preserve">starter-wood</t>
        </is>
      </c>
      <c r="B16" s="3">
        <f>IMAGE("https://pub-590970a58ce5426989b3bcd2897271b4.r2.dev/sheet-images/decor/starter-wood.png?v=4c64cdf0")</f>
      </c>
      <c r="C16" s="4" t="inlineStr">
        <is>
          <t xml:space="preserve">Lũa nhánh cổ thụ</t>
        </is>
      </c>
      <c r="D16" s="4" t="inlineStr">
        <is>
          <t xml:space="preserve">Lũa phân nhánh cao · Gắn cây hoặc rêu tại 3 vị trí</t>
        </is>
      </c>
      <c r="E16" s="4">
        <v>200</v>
      </c>
      <c r="F16" s="3" t="inlineStr">
        <is>
          <t xml:space="preserve">0.48 × 0.62 × 0.38</t>
        </is>
      </c>
      <c r="G16" s="3">
        <v>1</v>
      </c>
    </row>
    <row r="17" ht="66" customHeight="1">
      <c r="A17" s="4" t="inlineStr">
        <is>
          <t xml:space="preserve">wood-linh-sam-m</t>
        </is>
      </c>
      <c r="B17" s="3">
        <f>IMAGE("https://pub-590970a58ce5426989b3bcd2897271b4.r2.dev/sheet-images/decor/wood-linh-sam-m.png?v=a6e6d293")</f>
      </c>
      <c r="C17" s="4" t="inlineStr">
        <is>
          <t xml:space="preserve">Lũa Linh Sam · Vừa</t>
        </is>
      </c>
      <c r="D17" s="4" t="inlineStr">
        <is>
          <t xml:space="preserve">Cỡ vừa của Lũa Linh Sam · Gắn cây hoặc rêu lên thân, ngả được bằng nút Nghiêng · 2 điểm</t>
        </is>
      </c>
      <c r="E17" s="4">
        <v>440</v>
      </c>
      <c r="F17" s="3" t="inlineStr">
        <is>
          <t xml:space="preserve">1.00 × 0.94 × 0.53</t>
        </is>
      </c>
      <c r="G17" s="3">
        <v>2</v>
      </c>
    </row>
    <row r="18" ht="66" customHeight="1">
      <c r="A18" s="4" t="inlineStr">
        <is>
          <t xml:space="preserve">wood-linh-sam-l</t>
        </is>
      </c>
      <c r="B18" s="3">
        <f>IMAGE("https://pub-590970a58ce5426989b3bcd2897271b4.r2.dev/sheet-images/decor/wood-linh-sam-l.png?v=be3957c2")</f>
      </c>
      <c r="C18" s="4" t="inlineStr">
        <is>
          <t xml:space="preserve">Lũa Linh Sam · Lớn</t>
        </is>
      </c>
      <c r="D18" s="4" t="inlineStr">
        <is>
          <t xml:space="preserve">Cỡ lớn của Lũa Linh Sam · Gắn cây hoặc rêu lên thân, ngả được bằng nút Nghiêng · 3 điểm</t>
        </is>
      </c>
      <c r="E18" s="4">
        <v>770</v>
      </c>
      <c r="F18" s="3" t="inlineStr">
        <is>
          <t xml:space="preserve">1.20 × 1.13 × 0.64</t>
        </is>
      </c>
      <c r="G18" s="3">
        <v>3</v>
      </c>
    </row>
    <row r="19" ht="66" customHeight="1">
      <c r="A19" s="4" t="inlineStr">
        <is>
          <t xml:space="preserve">wood-hai-son-tung-m</t>
        </is>
      </c>
      <c r="B19" s="3">
        <f>IMAGE("https://pub-590970a58ce5426989b3bcd2897271b4.r2.dev/sheet-images/decor/wood-hai-son-tung-m.png?v=a597127b")</f>
      </c>
      <c r="C19" s="4" t="inlineStr">
        <is>
          <t xml:space="preserve">Lũa Hải Sơn Tùng · Vừa</t>
        </is>
      </c>
      <c r="D19" s="4" t="inlineStr">
        <is>
          <t xml:space="preserve">Cỡ vừa của Lũa Hải Sơn Tùng · Gắn cây hoặc rêu lên thân, ngả được bằng nút Nghiêng · 2 điểm</t>
        </is>
      </c>
      <c r="E19" s="4">
        <v>480</v>
      </c>
      <c r="F19" s="3" t="inlineStr">
        <is>
          <t xml:space="preserve">0.51 × 1.24 × 0.47</t>
        </is>
      </c>
      <c r="G19" s="3">
        <v>2</v>
      </c>
    </row>
    <row r="20" ht="66" customHeight="1">
      <c r="A20" s="4" t="inlineStr">
        <is>
          <t xml:space="preserve">wood-hai-son-tung-l</t>
        </is>
      </c>
      <c r="B20" s="3">
        <f>IMAGE("https://pub-590970a58ce5426989b3bcd2897271b4.r2.dev/sheet-images/decor/wood-hai-son-tung-l.png?v=b8e06263")</f>
      </c>
      <c r="C20" s="4" t="inlineStr">
        <is>
          <t xml:space="preserve">Lũa Hải Sơn Tùng · Lớn</t>
        </is>
      </c>
      <c r="D20" s="4" t="inlineStr">
        <is>
          <t xml:space="preserve">Cỡ lớn của Lũa Hải Sơn Tùng · Gắn cây hoặc rêu lên thân, ngả được bằng nút Nghiêng · 3 điểm</t>
        </is>
      </c>
      <c r="E20" s="4">
        <v>840</v>
      </c>
      <c r="F20" s="3" t="inlineStr">
        <is>
          <t xml:space="preserve">0.80 × 1.95 × 0.75</t>
        </is>
      </c>
      <c r="G20" s="3">
        <v>3</v>
      </c>
    </row>
    <row r="21" ht="66" customHeight="1">
      <c r="A21" s="4" t="inlineStr">
        <is>
          <t xml:space="preserve">wood-do-quyen-m</t>
        </is>
      </c>
      <c r="B21" s="3">
        <f>IMAGE("https://pub-590970a58ce5426989b3bcd2897271b4.r2.dev/sheet-images/decor/wood-do-quyen-m.png?v=3eaa4377")</f>
      </c>
      <c r="C21" s="4" t="inlineStr">
        <is>
          <t xml:space="preserve">Lũa Đỗ Quyên · Vừa</t>
        </is>
      </c>
      <c r="D21" s="4" t="inlineStr">
        <is>
          <t xml:space="preserve">Cỡ vừa của Lũa Đỗ Quyên · Gắn cây hoặc rêu lên thân, ngả được bằng nút Nghiêng · 2 điểm</t>
        </is>
      </c>
      <c r="E21" s="4">
        <v>460</v>
      </c>
      <c r="F21" s="3" t="inlineStr">
        <is>
          <t xml:space="preserve">1.20 × 0.65 × 0.73</t>
        </is>
      </c>
      <c r="G21" s="3">
        <v>2</v>
      </c>
    </row>
    <row r="22" ht="66" customHeight="1">
      <c r="A22" s="4" t="inlineStr">
        <is>
          <t xml:space="preserve">wood-do-quyen-l</t>
        </is>
      </c>
      <c r="B22" s="3">
        <f>IMAGE("https://pub-590970a58ce5426989b3bcd2897271b4.r2.dev/sheet-images/decor/wood-do-quyen-l.png?v=06d44b64")</f>
      </c>
      <c r="C22" s="4" t="inlineStr">
        <is>
          <t xml:space="preserve">Lũa Đỗ Quyên · Lớn</t>
        </is>
      </c>
      <c r="D22" s="4" t="inlineStr">
        <is>
          <t xml:space="preserve">Cỡ lớn của Lũa Đỗ Quyên · Gắn cây hoặc rêu lên thân, ngả được bằng nút Nghiêng · 3 điểm</t>
        </is>
      </c>
      <c r="E22" s="4">
        <v>800</v>
      </c>
      <c r="F22" s="3" t="inlineStr">
        <is>
          <t xml:space="preserve">1.20 × 0.65 × 0.73</t>
        </is>
      </c>
      <c r="G22" s="3">
        <v>3</v>
      </c>
    </row>
    <row r="23" ht="66" customHeight="1">
      <c r="A23" s="4" t="inlineStr">
        <is>
          <t xml:space="preserve">wood-spider-m</t>
        </is>
      </c>
      <c r="B23" s="3">
        <f>IMAGE("https://pub-590970a58ce5426989b3bcd2897271b4.r2.dev/sheet-images/decor/wood-spider-m.png?v=97cd6d86")</f>
      </c>
      <c r="C23" s="4" t="inlineStr">
        <is>
          <t xml:space="preserve">Lũa Spider · Vừa</t>
        </is>
      </c>
      <c r="D23" s="4" t="inlineStr">
        <is>
          <t xml:space="preserve">Cỡ vừa của Lũa Spider · Gắn cây hoặc rêu lên thân, ngả được bằng nút Nghiêng · 2 điểm</t>
        </is>
      </c>
      <c r="E23" s="4">
        <v>380</v>
      </c>
      <c r="F23" s="3" t="inlineStr">
        <is>
          <t xml:space="preserve">1.00 × 0.57 × 0.97</t>
        </is>
      </c>
      <c r="G23" s="3">
        <v>2</v>
      </c>
    </row>
    <row r="24" ht="66" customHeight="1">
      <c r="A24" s="4" t="inlineStr">
        <is>
          <t xml:space="preserve">wood-spider-l</t>
        </is>
      </c>
      <c r="B24" s="3">
        <f>IMAGE("https://pub-590970a58ce5426989b3bcd2897271b4.r2.dev/sheet-images/decor/wood-spider-l.png?v=382569b6")</f>
      </c>
      <c r="C24" s="4" t="inlineStr">
        <is>
          <t xml:space="preserve">Lũa Spider · Lớn</t>
        </is>
      </c>
      <c r="D24" s="4" t="inlineStr">
        <is>
          <t xml:space="preserve">Cỡ lớn của Lũa Spider · Gắn cây hoặc rêu lên thân, ngả được bằng nút Nghiêng · 3 điểm</t>
        </is>
      </c>
      <c r="E24" s="4">
        <v>670</v>
      </c>
      <c r="F24" s="3" t="inlineStr">
        <is>
          <t xml:space="preserve">1.20 × 0.68 × 1.16</t>
        </is>
      </c>
      <c r="G24" s="3">
        <v>3</v>
      </c>
    </row>
    <row r="25" ht="66" customHeight="1">
      <c r="A25" s="4" t="inlineStr">
        <is>
          <t xml:space="preserve">wood-san-da-m</t>
        </is>
      </c>
      <c r="B25" s="3">
        <f>IMAGE("https://pub-590970a58ce5426989b3bcd2897271b4.r2.dev/sheet-images/decor/wood-san-da-m.png?v=042aa04d")</f>
      </c>
      <c r="C25" s="4" t="inlineStr">
        <is>
          <t xml:space="preserve">Lũa Săn Đá · Vừa</t>
        </is>
      </c>
      <c r="D25" s="4" t="inlineStr">
        <is>
          <t xml:space="preserve">Cỡ vừa của Lũa Săn Đá · Gắn cây hoặc rêu lên thân, ngả được bằng nút Nghiêng · 2 điểm</t>
        </is>
      </c>
      <c r="E25" s="4">
        <v>500</v>
      </c>
      <c r="F25" s="3" t="inlineStr">
        <is>
          <t xml:space="preserve">0.66 × 0.94 × 0.60</t>
        </is>
      </c>
      <c r="G25" s="3">
        <v>2</v>
      </c>
    </row>
    <row r="26" ht="66" customHeight="1">
      <c r="A26" s="4" t="inlineStr">
        <is>
          <t xml:space="preserve">wood-san-da-l</t>
        </is>
      </c>
      <c r="B26" s="3">
        <f>IMAGE("https://pub-590970a58ce5426989b3bcd2897271b4.r2.dev/sheet-images/decor/wood-san-da-l.png?v=89746928")</f>
      </c>
      <c r="C26" s="4" t="inlineStr">
        <is>
          <t xml:space="preserve">Lũa Săn Đá · Lớn</t>
        </is>
      </c>
      <c r="D26" s="4" t="inlineStr">
        <is>
          <t xml:space="preserve">Cỡ lớn của Lũa Săn Đá · Gắn cây hoặc rêu lên thân, ngả được bằng nút Nghiêng · 3 điểm</t>
        </is>
      </c>
      <c r="E26" s="4">
        <v>880</v>
      </c>
      <c r="F26" s="3" t="inlineStr">
        <is>
          <t xml:space="preserve">1.10 × 1.57 × 1.01</t>
        </is>
      </c>
      <c r="G26" s="3">
        <v>3</v>
      </c>
    </row>
    <row r="27" ht="66" customHeight="1">
      <c r="A27" s="4" t="inlineStr">
        <is>
          <t xml:space="preserve">wood-mopani-m</t>
        </is>
      </c>
      <c r="B27" s="3">
        <f>IMAGE("https://pub-590970a58ce5426989b3bcd2897271b4.r2.dev/sheet-images/decor/wood-mopani-m.png?v=180775a1")</f>
      </c>
      <c r="C27" s="4" t="inlineStr">
        <is>
          <t xml:space="preserve">Lũa Mopani · Vừa</t>
        </is>
      </c>
      <c r="D27" s="4" t="inlineStr">
        <is>
          <t xml:space="preserve">Cỡ vừa của Lũa Mopani · Gắn cây hoặc rêu lên thân, ngả được bằng nút Nghiêng · 2 điểm</t>
        </is>
      </c>
      <c r="E27" s="4">
        <v>520</v>
      </c>
      <c r="F27" s="3" t="inlineStr">
        <is>
          <t xml:space="preserve">0.52 × 0.66 × 0.52</t>
        </is>
      </c>
      <c r="G27" s="3">
        <v>2</v>
      </c>
    </row>
    <row r="28" ht="66" customHeight="1">
      <c r="A28" s="4" t="inlineStr">
        <is>
          <t xml:space="preserve">wood-mopani-l</t>
        </is>
      </c>
      <c r="B28" s="3">
        <f>IMAGE("https://pub-590970a58ce5426989b3bcd2897271b4.r2.dev/sheet-images/decor/wood-mopani-l.png?v=60e7e90b")</f>
      </c>
      <c r="C28" s="4" t="inlineStr">
        <is>
          <t xml:space="preserve">Lũa Mopani · Lớn</t>
        </is>
      </c>
      <c r="D28" s="4" t="inlineStr">
        <is>
          <t xml:space="preserve">Cỡ lớn của Lũa Mopani · Gắn cây hoặc rêu lên thân, ngả được bằng nút Nghiêng · 3 điểm</t>
        </is>
      </c>
      <c r="E28" s="4">
        <v>910</v>
      </c>
      <c r="F28" s="3" t="inlineStr">
        <is>
          <t xml:space="preserve">0.86 × 1.10 × 0.86</t>
        </is>
      </c>
      <c r="G28" s="3">
        <v>3</v>
      </c>
    </row>
    <row r="29" ht="66" customHeight="1">
      <c r="A29" s="4" t="inlineStr">
        <is>
          <t xml:space="preserve">wood-tra-gung-m</t>
        </is>
      </c>
      <c r="B29" s="3">
        <f>IMAGE("https://pub-590970a58ce5426989b3bcd2897271b4.r2.dev/sheet-images/decor/wood-tra-gung-m.png?v=f62605cd")</f>
      </c>
      <c r="C29" s="4" t="inlineStr">
        <is>
          <t xml:space="preserve">Lũa Trà Gừng · Vừa</t>
        </is>
      </c>
      <c r="D29" s="4" t="inlineStr">
        <is>
          <t xml:space="preserve">Cỡ vừa của Lũa Trà Gừng · Gắn cây hoặc rêu lên thân, ngả được bằng nút Nghiêng · 2 điểm</t>
        </is>
      </c>
      <c r="E29" s="4">
        <v>240</v>
      </c>
      <c r="F29" s="3" t="inlineStr">
        <is>
          <t xml:space="preserve">0.39 × 0.47 × 0.20</t>
        </is>
      </c>
      <c r="G29" s="3">
        <v>2</v>
      </c>
    </row>
    <row r="30" ht="66" customHeight="1">
      <c r="A30" s="4" t="inlineStr">
        <is>
          <t xml:space="preserve">wood-tra-gung-l</t>
        </is>
      </c>
      <c r="B30" s="3">
        <f>IMAGE("https://pub-590970a58ce5426989b3bcd2897271b4.r2.dev/sheet-images/decor/wood-tra-gung-l.png?v=c8dfda69")</f>
      </c>
      <c r="C30" s="4" t="inlineStr">
        <is>
          <t xml:space="preserve">Lũa Trà Gừng · Lớn</t>
        </is>
      </c>
      <c r="D30" s="4" t="inlineStr">
        <is>
          <t xml:space="preserve">Cỡ lớn của Lũa Trà Gừng · Gắn cây hoặc rêu lên thân, ngả được bằng nút Nghiêng · 3 điểm</t>
        </is>
      </c>
      <c r="E30" s="4">
        <v>420</v>
      </c>
      <c r="F30" s="3" t="inlineStr">
        <is>
          <t xml:space="preserve">0.65 × 0.78 × 0.33</t>
        </is>
      </c>
      <c r="G30" s="3">
        <v>3</v>
      </c>
    </row>
    <row r="31" ht="66" customHeight="1">
      <c r="A31" s="4" t="inlineStr">
        <is>
          <t xml:space="preserve">wood-bonsai-m</t>
        </is>
      </c>
      <c r="B31" s="3">
        <f>IMAGE("https://pub-590970a58ce5426989b3bcd2897271b4.r2.dev/sheet-images/decor/wood-bonsai-m.png?v=8eda70da")</f>
      </c>
      <c r="C31" s="4" t="inlineStr">
        <is>
          <t xml:space="preserve">Lũa Bonsai · Vừa</t>
        </is>
      </c>
      <c r="D31" s="4" t="inlineStr">
        <is>
          <t xml:space="preserve">Cỡ vừa của Lũa Bonsai · Gắn cây hoặc rêu lên thân, ngả được bằng nút Nghiêng · 2 điểm</t>
        </is>
      </c>
      <c r="E31" s="4">
        <v>640</v>
      </c>
      <c r="F31" s="3" t="inlineStr">
        <is>
          <t xml:space="preserve">0.47 × 1.03 × 0.62</t>
        </is>
      </c>
      <c r="G31" s="3">
        <v>2</v>
      </c>
    </row>
    <row r="32" ht="66" customHeight="1">
      <c r="A32" s="4" t="inlineStr">
        <is>
          <t xml:space="preserve">wood-bonsai-l</t>
        </is>
      </c>
      <c r="B32" s="3">
        <f>IMAGE("https://pub-590970a58ce5426989b3bcd2897271b4.r2.dev/sheet-images/decor/wood-bonsai-l.png?v=549bcaea")</f>
      </c>
      <c r="C32" s="4" t="inlineStr">
        <is>
          <t xml:space="preserve">Lũa Bonsai · Lớn</t>
        </is>
      </c>
      <c r="D32" s="4" t="inlineStr">
        <is>
          <t xml:space="preserve">Cỡ lớn của Lũa Bonsai · Gắn cây hoặc rêu lên thân, ngả được bằng nút Nghiêng · 3 điểm</t>
        </is>
      </c>
      <c r="E32" s="4">
        <v>1120</v>
      </c>
      <c r="F32" s="3" t="inlineStr">
        <is>
          <t xml:space="preserve">0.79 × 1.71 × 1.04</t>
        </is>
      </c>
      <c r="G32" s="3">
        <v>3</v>
      </c>
    </row>
    <row r="33" ht="66" customHeight="1">
      <c r="A33" s="4" t="inlineStr">
        <is>
          <t xml:space="preserve">wood-co-thu</t>
        </is>
      </c>
      <c r="B33" s="3">
        <f>IMAGE("https://pub-590970a58ce5426989b3bcd2897271b4.r2.dev/sheet-images/decor/wood-co-thu.png?v=538845df")</f>
      </c>
      <c r="C33" s="4" t="inlineStr">
        <is>
          <t xml:space="preserve">Lũa cổ thụ đứng</t>
        </is>
      </c>
      <c r="D33" s="4" t="inlineStr">
        <is>
          <t xml:space="preserve">Thân to vươn cao gần chạm mặt nước, ngả được bằng nút Nghiêng · 6 vị trí gắn rêu, ráy · 3 điểm</t>
        </is>
      </c>
      <c r="E33" s="4">
        <v>900</v>
      </c>
      <c r="F33" s="3" t="inlineStr">
        <is>
          <t xml:space="preserve">0.96 × 1.89 × 1.01</t>
        </is>
      </c>
      <c r="G33" s="3">
        <v>3</v>
      </c>
    </row>
  </sheetData>
</worksheet>
</file>

<file path=xl/worksheets/sheet8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  <col min="6" max="6" width="26" customWidth="1"/>
    <col min="7" max="7" width="8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  <c r="F1" s="2" t="inlineStr">
        <is>
          <t xml:space="preserve">kích thước (R × C × S)</t>
        </is>
      </c>
      <c r="G1" s="2" t="inlineStr">
        <is>
          <t xml:space="preserve">điểm</t>
        </is>
      </c>
    </row>
    <row r="2" ht="66" customHeight="1">
      <c r="A2" s="4" t="inlineStr">
        <is>
          <t xml:space="preserve">river-pebbles</t>
        </is>
      </c>
      <c r="B2" s="3">
        <f>IMAGE("https://pub-590970a58ce5426989b3bcd2897271b4.r2.dev/sheet-images/decor/river-pebbles.png?v=959cabfc")</f>
      </c>
      <c r="C2" s="4" t="inlineStr">
        <is>
          <t xml:space="preserve">Đá cuội suối</t>
        </is>
      </c>
      <c r="D2" s="4" t="inlineStr">
        <is>
          <t xml:space="preserve">Đá tự nhiên · Gắn rêu, ráy hoặc dương xỉ lên mặt đá</t>
        </is>
      </c>
      <c r="E2" s="4">
        <v>70</v>
      </c>
      <c r="F2" s="3" t="inlineStr">
        <is>
          <t xml:space="preserve">0.30 × 0.08 × 0.24</t>
        </is>
      </c>
      <c r="G2" s="3">
        <v>1</v>
      </c>
    </row>
    <row r="3" ht="66" customHeight="1">
      <c r="A3" s="4" t="inlineStr">
        <is>
          <t xml:space="preserve">dragon-stone</t>
        </is>
      </c>
      <c r="B3" s="3">
        <f>IMAGE("https://pub-590970a58ce5426989b3bcd2897271b4.r2.dev/sheet-images/decor/dragon-stone.png?v=b8c925af")</f>
      </c>
      <c r="C3" s="4" t="inlineStr">
        <is>
          <t xml:space="preserve">Đá tai mèo</t>
        </is>
      </c>
      <c r="D3" s="4" t="inlineStr">
        <is>
          <t xml:space="preserve">Đá tự nhiên · Gắn rêu, ráy hoặc dương xỉ lên mặt đá</t>
        </is>
      </c>
      <c r="E3" s="4">
        <v>140</v>
      </c>
      <c r="F3" s="3" t="inlineStr">
        <is>
          <t xml:space="preserve">0.40 × 0.26 × 0.28</t>
        </is>
      </c>
      <c r="G3" s="3">
        <v>1</v>
      </c>
    </row>
    <row r="4" ht="66" customHeight="1">
      <c r="A4" s="4" t="inlineStr">
        <is>
          <t xml:space="preserve">lava-rock</t>
        </is>
      </c>
      <c r="B4" s="3">
        <f>IMAGE("https://pub-590970a58ce5426989b3bcd2897271b4.r2.dev/sheet-images/decor/lava-rock.png?v=759be537")</f>
      </c>
      <c r="C4" s="4" t="inlineStr">
        <is>
          <t xml:space="preserve">Đá nham thạch</t>
        </is>
      </c>
      <c r="D4" s="4" t="inlineStr">
        <is>
          <t xml:space="preserve">Đá tự nhiên · Gắn rêu, ráy hoặc dương xỉ lên mặt đá</t>
        </is>
      </c>
      <c r="E4" s="4">
        <v>100</v>
      </c>
      <c r="F4" s="3" t="inlineStr">
        <is>
          <t xml:space="preserve">0.29 × 0.15 × 0.28</t>
        </is>
      </c>
      <c r="G4" s="3">
        <v>1</v>
      </c>
    </row>
    <row r="5" ht="66" customHeight="1">
      <c r="A5" s="4" t="inlineStr">
        <is>
          <t xml:space="preserve">seiryu</t>
        </is>
      </c>
      <c r="B5" s="3">
        <f>IMAGE("https://pub-590970a58ce5426989b3bcd2897271b4.r2.dev/sheet-images/decor/seiryu.png?v=5b643a00")</f>
      </c>
      <c r="C5" s="4" t="inlineStr">
        <is>
          <t xml:space="preserve">Đá vân Seiryu</t>
        </is>
      </c>
      <c r="D5" s="4" t="inlineStr">
        <is>
          <t xml:space="preserve">Đá tự nhiên · Gắn rêu, ráy hoặc dương xỉ lên mặt đá</t>
        </is>
      </c>
      <c r="E5" s="4">
        <v>160</v>
      </c>
      <c r="F5" s="3" t="inlineStr">
        <is>
          <t xml:space="preserve">0.30 × 0.35 × 0.24</t>
        </is>
      </c>
      <c r="G5" s="3">
        <v>1</v>
      </c>
    </row>
    <row r="6" ht="66" customHeight="1">
      <c r="A6" s="4" t="inlineStr">
        <is>
          <t xml:space="preserve">rock-cluster</t>
        </is>
      </c>
      <c r="B6" s="3">
        <f>IMAGE("https://pub-590970a58ce5426989b3bcd2897271b4.r2.dev/sheet-images/decor/rock-cluster.png?v=ae292627")</f>
      </c>
      <c r="C6" s="4" t="inlineStr">
        <is>
          <t xml:space="preserve">Cụm đá tự nhiên</t>
        </is>
      </c>
      <c r="D6" s="4" t="inlineStr">
        <is>
          <t xml:space="preserve">Đá tự nhiên · Gắn rêu, ráy hoặc dương xỉ lên mặt đá</t>
        </is>
      </c>
      <c r="E6" s="4">
        <v>200</v>
      </c>
      <c r="F6" s="3" t="inlineStr">
        <is>
          <t xml:space="preserve">0.40 × 0.35 × 0.22</t>
        </is>
      </c>
      <c r="G6" s="3">
        <v>1</v>
      </c>
    </row>
    <row r="7" ht="66" customHeight="1">
      <c r="A7" s="4" t="inlineStr">
        <is>
          <t xml:space="preserve">mini-landscape</t>
        </is>
      </c>
      <c r="B7" s="3">
        <f>IMAGE("https://pub-590970a58ce5426989b3bcd2897271b4.r2.dev/sheet-images/decor/mini-landscape.png?v=3ab59a3f")</f>
      </c>
      <c r="C7" s="4" t="inlineStr">
        <is>
          <t xml:space="preserve">Hòn non bộ</t>
        </is>
      </c>
      <c r="D7" s="4" t="inlineStr">
        <is>
          <t xml:space="preserve">Tiểu cảnh núi đá nhiều tầng · Gắn rêu lên các mỏm đá</t>
        </is>
      </c>
      <c r="E7" s="4">
        <v>320</v>
      </c>
      <c r="F7" s="3" t="inlineStr">
        <is>
          <t xml:space="preserve">0.51 × 0.37 × 0.29</t>
        </is>
      </c>
      <c r="G7" s="3">
        <v>1</v>
      </c>
    </row>
    <row r="8" ht="66" customHeight="1">
      <c r="A8" s="4" t="inlineStr">
        <is>
          <t xml:space="preserve">stone-elephant-skin</t>
        </is>
      </c>
      <c r="B8" s="3">
        <f>IMAGE("https://pub-590970a58ce5426989b3bcd2897271b4.r2.dev/sheet-images/decor/stone-elephant-skin.png?v=0f98ef22")</f>
      </c>
      <c r="C8" s="4" t="inlineStr">
        <is>
          <t xml:space="preserve">Đá da voi</t>
        </is>
      </c>
      <c r="D8" s="4" t="inlineStr">
        <is>
          <t xml:space="preserve">Mặt đá sần nhăn như da voi, xếp tầng tạo khe núi · Hợp hồ thủy sinh và hồ Koi</t>
        </is>
      </c>
      <c r="E8" s="4">
        <v>180</v>
      </c>
      <c r="F8" s="3" t="inlineStr">
        <is>
          <t xml:space="preserve">0.45 × 0.27 × 0.32</t>
        </is>
      </c>
      <c r="G8" s="3">
        <v>1</v>
      </c>
    </row>
    <row r="9" ht="66" customHeight="1">
      <c r="A9" s="4" t="inlineStr">
        <is>
          <t xml:space="preserve">stone-coral-rock</t>
        </is>
      </c>
      <c r="B9" s="3">
        <f>IMAGE("https://pub-590970a58ce5426989b3bcd2897271b4.r2.dev/sheet-images/decor/stone-coral-rock.png?v=f5629271")</f>
      </c>
      <c r="C9" s="4" t="inlineStr">
        <is>
          <t xml:space="preserve">Đá san hô</t>
        </is>
      </c>
      <c r="D9" s="4" t="inlineStr">
        <is>
          <t xml:space="preserve">Xốp, nhẹ, nhiều lỗ; vừa làm nền vừa lọc, giữ pH cao ổn định · Hợp bể cá biển</t>
        </is>
      </c>
      <c r="E9" s="4">
        <v>150</v>
      </c>
      <c r="F9" s="3" t="inlineStr">
        <is>
          <t xml:space="preserve">0.32 × 0.19 × 0.27</t>
        </is>
      </c>
      <c r="G9" s="3">
        <v>1</v>
      </c>
    </row>
    <row r="10" ht="66" customHeight="1">
      <c r="A10" s="4" t="inlineStr">
        <is>
          <t xml:space="preserve">stone-lava-red</t>
        </is>
      </c>
      <c r="B10" s="3">
        <f>IMAGE("https://pub-590970a58ce5426989b3bcd2897271b4.r2.dev/sheet-images/decor/stone-lava-red.png?v=97049791")</f>
      </c>
      <c r="C10" s="4" t="inlineStr">
        <is>
          <t xml:space="preserve">Đá nham thạch đỏ</t>
        </is>
      </c>
      <c r="D10" s="4" t="inlineStr">
        <is>
          <t xml:space="preserve">Xốp, lỗ li ti cho vi sinh trú ngụ và lọc nước · Lót nền hoặc phân tầng</t>
        </is>
      </c>
      <c r="E10" s="4">
        <v>110</v>
      </c>
      <c r="F10" s="3" t="inlineStr">
        <is>
          <t xml:space="preserve">0.28 × 0.14 × 0.29</t>
        </is>
      </c>
      <c r="G10" s="3">
        <v>1</v>
      </c>
    </row>
    <row r="11" ht="66" customHeight="1">
      <c r="A11" s="4" t="inlineStr">
        <is>
          <t xml:space="preserve">stone-sea-pebbles</t>
        </is>
      </c>
      <c r="B11" s="3">
        <f>IMAGE("https://pub-590970a58ce5426989b3bcd2897271b4.r2.dev/sheet-images/decor/stone-sea-pebbles.png?v=97cc9a80")</f>
      </c>
      <c r="C11" s="4" t="inlineStr">
        <is>
          <t xml:space="preserve">Đá cuội biển</t>
        </is>
      </c>
      <c r="D11" s="4" t="inlineStr">
        <is>
          <t xml:space="preserve">Cuội tròn mượt nhiều màu, vẻ đẹp hoang sơ · Hợp hồ cá cảnh, thủy sinh lẫn hồ Koi</t>
        </is>
      </c>
      <c r="E11" s="4">
        <v>80</v>
      </c>
      <c r="F11" s="3" t="inlineStr">
        <is>
          <t xml:space="preserve">0.27 × 0.09 × 0.27</t>
        </is>
      </c>
      <c r="G11" s="3">
        <v>1</v>
      </c>
    </row>
    <row r="12" ht="66" customHeight="1">
      <c r="A12" s="4" t="inlineStr">
        <is>
          <t xml:space="preserve">stone-co-thach</t>
        </is>
      </c>
      <c r="B12" s="3">
        <f>IMAGE("https://pub-590970a58ce5426989b3bcd2897271b4.r2.dev/sheet-images/decor/stone-co-thach.png?v=e9385772")</f>
      </c>
      <c r="C12" s="4" t="inlineStr">
        <is>
          <t xml:space="preserve">Đá cổ thạch</t>
        </is>
      </c>
      <c r="D12" s="4" t="inlineStr">
        <is>
          <t xml:space="preserve">Góc cạnh, vân sọc trắng vàng · Điểm nhấn cao cấp cho hòn non bộ</t>
        </is>
      </c>
      <c r="E12" s="4">
        <v>260</v>
      </c>
      <c r="F12" s="3" t="inlineStr">
        <is>
          <t xml:space="preserve">0.32 × 0.36 × 0.19</t>
        </is>
      </c>
      <c r="G12" s="3">
        <v>1</v>
      </c>
    </row>
    <row r="13" ht="66" customHeight="1">
      <c r="A13" s="4" t="inlineStr">
        <is>
          <t xml:space="preserve">stone-tuyet-son</t>
        </is>
      </c>
      <c r="B13" s="3">
        <f>IMAGE("https://pub-590970a58ce5426989b3bcd2897271b4.r2.dev/sheet-images/decor/stone-tuyet-son.png?v=c37127a1")</f>
      </c>
      <c r="C13" s="4" t="inlineStr">
        <is>
          <t xml:space="preserve">Đá tuyết sơn</t>
        </is>
      </c>
      <c r="D13" s="4" t="inlineStr">
        <is>
          <t xml:space="preserve">Nền đen vân trắng như tuyết phủ đỉnh núi · Điểm nhấn cao cấp cho hòn non bộ</t>
        </is>
      </c>
      <c r="E13" s="4">
        <v>280</v>
      </c>
      <c r="F13" s="3" t="inlineStr">
        <is>
          <t xml:space="preserve">0.34 × 0.42 × 0.23</t>
        </is>
      </c>
      <c r="G13" s="3">
        <v>1</v>
      </c>
    </row>
    <row r="14" ht="66" customHeight="1">
      <c r="A14" s="4" t="inlineStr">
        <is>
          <t xml:space="preserve">starter-stone</t>
        </is>
      </c>
      <c r="B14" s="3">
        <f>IMAGE("https://pub-590970a58ce5426989b3bcd2897271b4.r2.dev/sheet-images/decor/starter-stone.png?v=5216b73e")</f>
      </c>
      <c r="C14" s="4" t="inlineStr">
        <is>
          <t xml:space="preserve">Đá suối tròn</t>
        </is>
      </c>
      <c r="D14" s="4" t="inlineStr">
        <is>
          <t xml:space="preserve">Đá cuội tròn · Gắn rêu hoặc ráy lên mặt đá</t>
        </is>
      </c>
      <c r="E14" s="4">
        <v>80</v>
      </c>
      <c r="F14" s="3" t="inlineStr">
        <is>
          <t xml:space="preserve">0.35 × 0.27 × 0.30</t>
        </is>
      </c>
      <c r="G14" s="3">
        <v>1</v>
      </c>
    </row>
    <row r="15" ht="66" customHeight="1">
      <c r="A15" s="4" t="inlineStr">
        <is>
          <t xml:space="preserve">stone-elephant-skin-m</t>
        </is>
      </c>
      <c r="B15" s="3">
        <f>IMAGE("https://pub-590970a58ce5426989b3bcd2897271b4.r2.dev/sheet-images/decor/stone-elephant-skin-m.png?v=bdd534cc")</f>
      </c>
      <c r="C15" s="4" t="inlineStr">
        <is>
          <t xml:space="preserve">Đá da voi · Vừa</t>
        </is>
      </c>
      <c r="D15" s="4" t="inlineStr">
        <is>
          <t xml:space="preserve">Cỡ vừa của Đá da voi · Chồng đá, gác lũa hoặc gắn rêu lên mặt đá · 2 điểm</t>
        </is>
      </c>
      <c r="E15" s="4">
        <v>360</v>
      </c>
      <c r="F15" s="3" t="inlineStr">
        <is>
          <t xml:space="preserve">0.81 × 0.49 × 0.58</t>
        </is>
      </c>
      <c r="G15" s="3">
        <v>2</v>
      </c>
    </row>
    <row r="16" ht="66" customHeight="1">
      <c r="A16" s="4" t="inlineStr">
        <is>
          <t xml:space="preserve">stone-elephant-skin-l</t>
        </is>
      </c>
      <c r="B16" s="3">
        <f>IMAGE("https://pub-590970a58ce5426989b3bcd2897271b4.r2.dev/sheet-images/decor/stone-elephant-skin-l.png?v=bee8cc3b")</f>
      </c>
      <c r="C16" s="4" t="inlineStr">
        <is>
          <t xml:space="preserve">Đá da voi · Lớn</t>
        </is>
      </c>
      <c r="D16" s="4" t="inlineStr">
        <is>
          <t xml:space="preserve">Cỡ lớn của Đá da voi · Chồng đá, gác lũa hoặc gắn rêu lên mặt đá · 3 điểm</t>
        </is>
      </c>
      <c r="E16" s="4">
        <v>630</v>
      </c>
      <c r="F16" s="3" t="inlineStr">
        <is>
          <t xml:space="preserve">1.20 × 0.72 × 0.86</t>
        </is>
      </c>
      <c r="G16" s="3">
        <v>3</v>
      </c>
    </row>
    <row r="17" ht="66" customHeight="1">
      <c r="A17" s="4" t="inlineStr">
        <is>
          <t xml:space="preserve">stone-coral-rock-m</t>
        </is>
      </c>
      <c r="B17" s="3">
        <f>IMAGE("https://pub-590970a58ce5426989b3bcd2897271b4.r2.dev/sheet-images/decor/stone-coral-rock-m.png?v=90485909")</f>
      </c>
      <c r="C17" s="4" t="inlineStr">
        <is>
          <t xml:space="preserve">Đá san hô · Vừa</t>
        </is>
      </c>
      <c r="D17" s="4" t="inlineStr">
        <is>
          <t xml:space="preserve">Cỡ vừa của Đá san hô · Chồng đá, gác lũa hoặc gắn rêu lên mặt đá · 2 điểm</t>
        </is>
      </c>
      <c r="E17" s="4">
        <v>300</v>
      </c>
      <c r="F17" s="3" t="inlineStr">
        <is>
          <t xml:space="preserve">0.58 × 0.33 × 0.49</t>
        </is>
      </c>
      <c r="G17" s="3">
        <v>2</v>
      </c>
    </row>
    <row r="18" ht="66" customHeight="1">
      <c r="A18" s="4" t="inlineStr">
        <is>
          <t xml:space="preserve">stone-coral-rock-l</t>
        </is>
      </c>
      <c r="B18" s="3">
        <f>IMAGE("https://pub-590970a58ce5426989b3bcd2897271b4.r2.dev/sheet-images/decor/stone-coral-rock-l.png?v=63f9f653")</f>
      </c>
      <c r="C18" s="4" t="inlineStr">
        <is>
          <t xml:space="preserve">Đá san hô · Lớn</t>
        </is>
      </c>
      <c r="D18" s="4" t="inlineStr">
        <is>
          <t xml:space="preserve">Cỡ lớn của Đá san hô · Chồng đá, gác lũa hoặc gắn rêu lên mặt đá · 3 điểm</t>
        </is>
      </c>
      <c r="E18" s="4">
        <v>520</v>
      </c>
      <c r="F18" s="3" t="inlineStr">
        <is>
          <t xml:space="preserve">0.97 × 0.56 × 0.82</t>
        </is>
      </c>
      <c r="G18" s="3">
        <v>3</v>
      </c>
    </row>
    <row r="19" ht="66" customHeight="1">
      <c r="A19" s="4" t="inlineStr">
        <is>
          <t xml:space="preserve">stone-lava-red-m</t>
        </is>
      </c>
      <c r="B19" s="3">
        <f>IMAGE("https://pub-590970a58ce5426989b3bcd2897271b4.r2.dev/sheet-images/decor/stone-lava-red-m.png?v=753ca2b1")</f>
      </c>
      <c r="C19" s="4" t="inlineStr">
        <is>
          <t xml:space="preserve">Đá nham thạch đỏ · Vừa</t>
        </is>
      </c>
      <c r="D19" s="4" t="inlineStr">
        <is>
          <t xml:space="preserve">Cỡ vừa của Đá nham thạch đỏ · Chồng đá, gác lũa hoặc gắn rêu lên mặt đá · 2 điểm</t>
        </is>
      </c>
      <c r="E19" s="4">
        <v>220</v>
      </c>
      <c r="F19" s="3" t="inlineStr">
        <is>
          <t xml:space="preserve">0.51 × 0.26 × 0.51</t>
        </is>
      </c>
      <c r="G19" s="3">
        <v>2</v>
      </c>
    </row>
    <row r="20" ht="66" customHeight="1">
      <c r="A20" s="4" t="inlineStr">
        <is>
          <t xml:space="preserve">stone-lava-red-l</t>
        </is>
      </c>
      <c r="B20" s="3">
        <f>IMAGE("https://pub-590970a58ce5426989b3bcd2897271b4.r2.dev/sheet-images/decor/stone-lava-red-l.png?v=42e279b9")</f>
      </c>
      <c r="C20" s="4" t="inlineStr">
        <is>
          <t xml:space="preserve">Đá nham thạch đỏ · Lớn</t>
        </is>
      </c>
      <c r="D20" s="4" t="inlineStr">
        <is>
          <t xml:space="preserve">Cỡ lớn của Đá nham thạch đỏ · Chồng đá, gác lũa hoặc gắn rêu lên mặt đá · 3 điểm</t>
        </is>
      </c>
      <c r="E20" s="4">
        <v>380</v>
      </c>
      <c r="F20" s="3" t="inlineStr">
        <is>
          <t xml:space="preserve">0.85 × 0.43 × 0.86</t>
        </is>
      </c>
      <c r="G20" s="3">
        <v>3</v>
      </c>
    </row>
    <row r="21" ht="66" customHeight="1">
      <c r="A21" s="4" t="inlineStr">
        <is>
          <t xml:space="preserve">stone-sea-pebbles-m</t>
        </is>
      </c>
      <c r="B21" s="3">
        <f>IMAGE("https://pub-590970a58ce5426989b3bcd2897271b4.r2.dev/sheet-images/decor/stone-sea-pebbles-m.png?v=17e620d2")</f>
      </c>
      <c r="C21" s="4" t="inlineStr">
        <is>
          <t xml:space="preserve">Đá cuội biển · Vừa</t>
        </is>
      </c>
      <c r="D21" s="4" t="inlineStr">
        <is>
          <t xml:space="preserve">Cỡ vừa của Đá cuội biển · Chồng đá, gác lũa hoặc gắn rêu lên mặt đá · 2 điểm</t>
        </is>
      </c>
      <c r="E21" s="4">
        <v>160</v>
      </c>
      <c r="F21" s="3" t="inlineStr">
        <is>
          <t xml:space="preserve">0.49 × 0.16 × 0.49</t>
        </is>
      </c>
      <c r="G21" s="3">
        <v>2</v>
      </c>
    </row>
    <row r="22" ht="66" customHeight="1">
      <c r="A22" s="4" t="inlineStr">
        <is>
          <t xml:space="preserve">stone-sea-pebbles-l</t>
        </is>
      </c>
      <c r="B22" s="3">
        <f>IMAGE("https://pub-590970a58ce5426989b3bcd2897271b4.r2.dev/sheet-images/decor/stone-sea-pebbles-l.png?v=643d9c60")</f>
      </c>
      <c r="C22" s="4" t="inlineStr">
        <is>
          <t xml:space="preserve">Đá cuội biển · Lớn</t>
        </is>
      </c>
      <c r="D22" s="4" t="inlineStr">
        <is>
          <t xml:space="preserve">Cỡ lớn của Đá cuội biển · Chồng đá, gác lũa hoặc gắn rêu lên mặt đá · 3 điểm</t>
        </is>
      </c>
      <c r="E22" s="4">
        <v>280</v>
      </c>
      <c r="F22" s="3" t="inlineStr">
        <is>
          <t xml:space="preserve">0.81 × 0.27 × 0.81</t>
        </is>
      </c>
      <c r="G22" s="3">
        <v>3</v>
      </c>
    </row>
    <row r="23" ht="66" customHeight="1">
      <c r="A23" s="4" t="inlineStr">
        <is>
          <t xml:space="preserve">stone-co-thach-m</t>
        </is>
      </c>
      <c r="B23" s="3">
        <f>IMAGE("https://pub-590970a58ce5426989b3bcd2897271b4.r2.dev/sheet-images/decor/stone-co-thach-m.png?v=ee68b9e0")</f>
      </c>
      <c r="C23" s="4" t="inlineStr">
        <is>
          <t xml:space="preserve">Đá cổ thạch · Vừa</t>
        </is>
      </c>
      <c r="D23" s="4" t="inlineStr">
        <is>
          <t xml:space="preserve">Cỡ vừa của Đá cổ thạch · Chồng đá, gác lũa hoặc gắn rêu lên mặt đá · 2 điểm</t>
        </is>
      </c>
      <c r="E23" s="4">
        <v>520</v>
      </c>
      <c r="F23" s="3" t="inlineStr">
        <is>
          <t xml:space="preserve">0.57 × 0.65 × 0.34</t>
        </is>
      </c>
      <c r="G23" s="3">
        <v>2</v>
      </c>
    </row>
    <row r="24" ht="66" customHeight="1">
      <c r="A24" s="4" t="inlineStr">
        <is>
          <t xml:space="preserve">stone-co-thach-l</t>
        </is>
      </c>
      <c r="B24" s="3">
        <f>IMAGE("https://pub-590970a58ce5426989b3bcd2897271b4.r2.dev/sheet-images/decor/stone-co-thach-l.png?v=e0e38b53")</f>
      </c>
      <c r="C24" s="4" t="inlineStr">
        <is>
          <t xml:space="preserve">Đá cổ thạch · Lớn</t>
        </is>
      </c>
      <c r="D24" s="4" t="inlineStr">
        <is>
          <t xml:space="preserve">Cỡ lớn của Đá cổ thạch · Chồng đá, gác lũa hoặc gắn rêu lên mặt đá · 3 điểm</t>
        </is>
      </c>
      <c r="E24" s="4">
        <v>910</v>
      </c>
      <c r="F24" s="3" t="inlineStr">
        <is>
          <t xml:space="preserve">0.95 × 1.09 × 0.57</t>
        </is>
      </c>
      <c r="G24" s="3">
        <v>3</v>
      </c>
    </row>
    <row r="25" ht="66" customHeight="1">
      <c r="A25" s="4" t="inlineStr">
        <is>
          <t xml:space="preserve">stone-tuyet-son-m</t>
        </is>
      </c>
      <c r="B25" s="3">
        <f>IMAGE("https://pub-590970a58ce5426989b3bcd2897271b4.r2.dev/sheet-images/decor/stone-tuyet-son-m.png?v=beaa4659")</f>
      </c>
      <c r="C25" s="4" t="inlineStr">
        <is>
          <t xml:space="preserve">Đá tuyết sơn · Vừa</t>
        </is>
      </c>
      <c r="D25" s="4" t="inlineStr">
        <is>
          <t xml:space="preserve">Cỡ vừa của Đá tuyết sơn · Chồng đá, gác lũa hoặc gắn rêu lên mặt đá · 2 điểm</t>
        </is>
      </c>
      <c r="E25" s="4">
        <v>560</v>
      </c>
      <c r="F25" s="3" t="inlineStr">
        <is>
          <t xml:space="preserve">0.62 × 0.76 × 0.42</t>
        </is>
      </c>
      <c r="G25" s="3">
        <v>2</v>
      </c>
    </row>
    <row r="26" ht="66" customHeight="1">
      <c r="A26" s="4" t="inlineStr">
        <is>
          <t xml:space="preserve">stone-tuyet-son-l</t>
        </is>
      </c>
      <c r="B26" s="3">
        <f>IMAGE("https://pub-590970a58ce5426989b3bcd2897271b4.r2.dev/sheet-images/decor/stone-tuyet-son-l.png?v=42c422c9")</f>
      </c>
      <c r="C26" s="4" t="inlineStr">
        <is>
          <t xml:space="preserve">Đá tuyết sơn · Lớn</t>
        </is>
      </c>
      <c r="D26" s="4" t="inlineStr">
        <is>
          <t xml:space="preserve">Cỡ lớn của Đá tuyết sơn · Chồng đá, gác lũa hoặc gắn rêu lên mặt đá · 3 điểm</t>
        </is>
      </c>
      <c r="E26" s="4">
        <v>980</v>
      </c>
      <c r="F26" s="3" t="inlineStr">
        <is>
          <t xml:space="preserve">1.03 × 1.27 × 0.70</t>
        </is>
      </c>
      <c r="G26" s="3">
        <v>3</v>
      </c>
    </row>
    <row r="27" ht="66" customHeight="1">
      <c r="A27" s="4" t="inlineStr">
        <is>
          <t xml:space="preserve">stone-iwagumi</t>
        </is>
      </c>
      <c r="B27" s="3">
        <f>IMAGE("https://pub-590970a58ce5426989b3bcd2897271b4.r2.dev/sheet-images/decor/stone-iwagumi.png?v=fcff3716")</f>
      </c>
      <c r="C27" s="4" t="inlineStr">
        <is>
          <t xml:space="preserve">Đá tảng chủ</t>
        </is>
      </c>
      <c r="D27" s="4" t="inlineStr">
        <is>
          <t xml:space="preserve">Tảng đá đứng cao làm điểm nhấn chính kiểu Iwagumi · Gắn rêu ở chân và đỉnh · 3 điểm</t>
        </is>
      </c>
      <c r="E27" s="4">
        <v>700</v>
      </c>
      <c r="F27" s="3" t="inlineStr">
        <is>
          <t xml:space="preserve">0.46 × 1.00 × 0.38</t>
        </is>
      </c>
      <c r="G27" s="3">
        <v>3</v>
      </c>
    </row>
    <row r="28" ht="66" customHeight="1">
      <c r="A28" s="4" t="inlineStr">
        <is>
          <t xml:space="preserve">stone-slab</t>
        </is>
      </c>
      <c r="B28" s="3">
        <f>IMAGE("https://pub-590970a58ce5426989b3bcd2897271b4.r2.dev/sheet-images/decor/stone-slab.png?v=72db9db4")</f>
      </c>
      <c r="C28" s="4" t="inlineStr">
        <is>
          <t xml:space="preserve">Đá phiến bậc</t>
        </is>
      </c>
      <c r="D28" s="4" t="inlineStr">
        <is>
          <t xml:space="preserve">Mặt trên phẳng để chồng thêm đá hoặc gác lũa, dựng núi đá nhiều tầng · 2 điểm</t>
        </is>
      </c>
      <c r="E28" s="4">
        <v>300</v>
      </c>
      <c r="F28" s="3" t="inlineStr">
        <is>
          <t xml:space="preserve">0.62 × 0.16 × 0.48</t>
        </is>
      </c>
      <c r="G28" s="3">
        <v>2</v>
      </c>
    </row>
    <row r="29" ht="66" customHeight="1">
      <c r="A29" s="4" t="inlineStr">
        <is>
          <t xml:space="preserve">stone-cliff</t>
        </is>
      </c>
      <c r="B29" s="3">
        <f>IMAGE("https://pub-590970a58ce5426989b3bcd2897271b4.r2.dev/sheet-images/decor/stone-cliff.png?v=c4d73946")</f>
      </c>
      <c r="C29" s="4" t="inlineStr">
        <is>
          <t xml:space="preserve">Đá vách núi</t>
        </is>
      </c>
      <c r="D29" s="4" t="inlineStr">
        <is>
          <t xml:space="preserve">Khối đá dài nhiều tầng dựng sát kính sau, che phần hồ phía sau và tạo chiều sâu · 3 điểm</t>
        </is>
      </c>
      <c r="E29" s="4">
        <v>800</v>
      </c>
      <c r="F29" s="3" t="inlineStr">
        <is>
          <t xml:space="preserve">0.95 × 1.30 × 0.34</t>
        </is>
      </c>
      <c r="G29" s="3">
        <v>3</v>
      </c>
    </row>
  </sheetData>
</worksheet>
</file>

<file path=xl/worksheets/sheet9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  <col min="6" max="6" width="26" customWidth="1"/>
    <col min="7" max="7" width="8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  <c r="F1" s="2" t="inlineStr">
        <is>
          <t xml:space="preserve">kích thước (R × C × S)</t>
        </is>
      </c>
      <c r="G1" s="2" t="inlineStr">
        <is>
          <t xml:space="preserve">điểm</t>
        </is>
      </c>
    </row>
    <row r="2" ht="66" customHeight="1">
      <c r="A2" s="4" t="inlineStr">
        <is>
          <t xml:space="preserve">coral-rubble</t>
        </is>
      </c>
      <c r="B2" s="3">
        <f>IMAGE("https://pub-590970a58ce5426989b3bcd2897271b4.r2.dev/sheet-images/decor/coral-rubble.png?v=4c0d926a")</f>
      </c>
      <c r="C2" s="4" t="inlineStr">
        <is>
          <t xml:space="preserve">San hô vụn</t>
        </is>
      </c>
      <c r="D2" s="4" t="inlineStr">
        <is>
          <t xml:space="preserve">San hô thật dạng vụn · Lót nền hoặc làm vật liệu lọc tăng pH cho bể nước mặn</t>
        </is>
      </c>
      <c r="E2" s="4">
        <v>90</v>
      </c>
      <c r="F2" s="3" t="inlineStr">
        <is>
          <t xml:space="preserve">0.26 × 0.05 × 0.26</t>
        </is>
      </c>
      <c r="G2" s="3">
        <v>1</v>
      </c>
    </row>
    <row r="3" ht="66" customHeight="1">
      <c r="A3" s="4" t="inlineStr">
        <is>
          <t xml:space="preserve">coral-block</t>
        </is>
      </c>
      <c r="B3" s="3">
        <f>IMAGE("https://pub-590970a58ce5426989b3bcd2897271b4.r2.dev/sheet-images/decor/coral-block.png?v=4f764d03")</f>
      </c>
      <c r="C3" s="4" t="inlineStr">
        <is>
          <t xml:space="preserve">San hô não xanh vàng</t>
        </is>
      </c>
      <c r="D3" s="4" t="inlineStr">
        <is>
          <t xml:space="preserve">Khối xanh ngọc với gân nổi uốn lượn màu vàng · Điểm nhấn tiền cảnh</t>
        </is>
      </c>
      <c r="E3" s="4">
        <v>190</v>
      </c>
      <c r="F3" s="3" t="inlineStr">
        <is>
          <t xml:space="preserve">0.27 × 0.21 × 0.24</t>
        </is>
      </c>
      <c r="G3" s="3">
        <v>1</v>
      </c>
    </row>
    <row r="4" ht="66" customHeight="1">
      <c r="A4" s="4" t="inlineStr">
        <is>
          <t xml:space="preserve">coral-mushroom</t>
        </is>
      </c>
      <c r="B4" s="3">
        <f>IMAGE("https://pub-590970a58ce5426989b3bcd2897271b4.r2.dev/sheet-images/decor/coral-mushroom.png?v=6d5205e1")</f>
      </c>
      <c r="C4" s="4" t="inlineStr">
        <is>
          <t xml:space="preserve">San hô nấm xanh viền tím</t>
        </is>
      </c>
      <c r="D4" s="4" t="inlineStr">
        <is>
          <t xml:space="preserve">Năm đĩa thịt xanh ngọc xếp cụm, gân tỏa và viền tím gợn sóng</t>
        </is>
      </c>
      <c r="E4" s="4">
        <v>240</v>
      </c>
      <c r="F4" s="3" t="inlineStr">
        <is>
          <t xml:space="preserve">0.23 × 0.14 × 0.24</t>
        </is>
      </c>
      <c r="G4" s="3">
        <v>1</v>
      </c>
    </row>
    <row r="5" ht="66" customHeight="1">
      <c r="A5" s="4" t="inlineStr">
        <is>
          <t xml:space="preserve">coral-zoanthid</t>
        </is>
      </c>
      <c r="B5" s="3">
        <f>IMAGE("https://pub-590970a58ce5426989b3bcd2897271b4.r2.dev/sheet-images/decor/coral-zoanthid.png?v=32c5b38e")</f>
      </c>
      <c r="C5" s="4" t="inlineStr">
        <is>
          <t xml:space="preserve">San hô đồng tiền đa sắc</t>
        </is>
      </c>
      <c r="D5" s="4" t="inlineStr">
        <is>
          <t xml:space="preserve">Thảm polyp tâm cam, vòng xanh và tua tím · Phủ đá tiền cảnh</t>
        </is>
      </c>
      <c r="E5" s="4">
        <v>220</v>
      </c>
      <c r="F5" s="3" t="inlineStr">
        <is>
          <t xml:space="preserve">0.23 × 0.12 × 0.24</t>
        </is>
      </c>
      <c r="G5" s="3">
        <v>1</v>
      </c>
    </row>
    <row r="6" ht="66" customHeight="1">
      <c r="A6" s="4" t="inlineStr">
        <is>
          <t xml:space="preserve">coral-artificial-branch</t>
        </is>
      </c>
      <c r="B6" s="3">
        <f>IMAGE("https://pub-590970a58ce5426989b3bcd2897271b4.r2.dev/sheet-images/decor/coral-artificial-branch.png?v=7d5c4244")</f>
      </c>
      <c r="C6" s="4" t="inlineStr">
        <is>
          <t xml:space="preserve">San hô sừng hươu hồng</t>
        </is>
      </c>
      <c r="D6" s="4" t="inlineStr">
        <is>
          <t xml:space="preserve">Tán nhánh hồng đào dày, đầu kem · Đế đá sống tự nhiên</t>
        </is>
      </c>
      <c r="E6" s="4">
        <v>120</v>
      </c>
      <c r="F6" s="3" t="inlineStr">
        <is>
          <t xml:space="preserve">0.28 × 0.27 × 0.34</t>
        </is>
      </c>
      <c r="G6" s="3">
        <v>1</v>
      </c>
    </row>
    <row r="7" ht="66" customHeight="1">
      <c r="A7" s="4" t="inlineStr">
        <is>
          <t xml:space="preserve">coral-artificial-fan</t>
        </is>
      </c>
      <c r="B7" s="3">
        <f>IMAGE("https://pub-590970a58ce5426989b3bcd2897271b4.r2.dev/sheet-images/decor/coral-artificial-fan.png?v=9ca9f0f6")</f>
      </c>
      <c r="C7" s="4" t="inlineStr">
        <is>
          <t xml:space="preserve">Quạt biển đỏ</t>
        </is>
      </c>
      <c r="D7" s="4" t="inlineStr">
        <is>
          <t xml:space="preserve">Quạt đỏ mảnh với mạng nhánh đan như ren · Điểm nhấn hậu cảnh</t>
        </is>
      </c>
      <c r="E7" s="4">
        <v>130</v>
      </c>
      <c r="F7" s="3" t="inlineStr">
        <is>
          <t xml:space="preserve">0.50 × 0.48 × 0.19</t>
        </is>
      </c>
      <c r="G7" s="3">
        <v>1</v>
      </c>
    </row>
    <row r="8" ht="66" customHeight="1">
      <c r="A8" s="4" t="inlineStr">
        <is>
          <t xml:space="preserve">coral-plating</t>
        </is>
      </c>
      <c r="B8" s="3">
        <f>IMAGE("https://pub-590970a58ce5426989b3bcd2897271b4.r2.dev/sheet-images/decor/coral-plating.png?v=125ca294")</f>
      </c>
      <c r="C8" s="4" t="inlineStr">
        <is>
          <t xml:space="preserve">San hô đĩa tầng xanh ngọc</t>
        </is>
      </c>
      <c r="D8" s="4" t="inlineStr">
        <is>
          <t xml:space="preserve">Tiểu cảnh san hô 3D · Bộ mẫu đã duyệt</t>
        </is>
      </c>
      <c r="E8" s="4">
        <v>280</v>
      </c>
      <c r="F8" s="3" t="inlineStr">
        <is>
          <t xml:space="preserve">0.33 × 0.27 × 0.32</t>
        </is>
      </c>
      <c r="G8" s="3">
        <v>1</v>
      </c>
    </row>
    <row r="9" ht="66" customHeight="1">
      <c r="A9" s="4" t="inlineStr">
        <is>
          <t xml:space="preserve">coral-purple-branch</t>
        </is>
      </c>
      <c r="B9" s="3">
        <f>IMAGE("https://pub-590970a58ce5426989b3bcd2897271b4.r2.dev/sheet-images/decor/coral-purple-branch.png?v=afde6820")</f>
      </c>
      <c r="C9" s="4" t="inlineStr">
        <is>
          <t xml:space="preserve">San hô nhánh tím</t>
        </is>
      </c>
      <c r="D9" s="4" t="inlineStr">
        <is>
          <t xml:space="preserve">Tiểu cảnh san hô 3D · Bộ mẫu đã duyệt</t>
        </is>
      </c>
      <c r="E9" s="4">
        <v>260</v>
      </c>
      <c r="F9" s="3" t="inlineStr">
        <is>
          <t xml:space="preserve">0.21 × 0.24 × 0.26</t>
        </is>
      </c>
      <c r="G9" s="3">
        <v>1</v>
      </c>
    </row>
    <row r="10" ht="66" customHeight="1">
      <c r="A10" s="4" t="inlineStr">
        <is>
          <t xml:space="preserve">coral-torch</t>
        </is>
      </c>
      <c r="B10" s="3">
        <f>IMAGE("https://pub-590970a58ce5426989b3bcd2897271b4.r2.dev/sheet-images/decor/coral-torch.png?v=4cd78453")</f>
      </c>
      <c r="C10" s="4" t="inlineStr">
        <is>
          <t xml:space="preserve">San hô đuốc vàng</t>
        </is>
      </c>
      <c r="D10" s="4" t="inlineStr">
        <is>
          <t xml:space="preserve">Tiểu cảnh san hô 3D · Bộ mẫu đã duyệt</t>
        </is>
      </c>
      <c r="E10" s="4">
        <v>300</v>
      </c>
      <c r="F10" s="3" t="inlineStr">
        <is>
          <t xml:space="preserve">0.26 × 0.24 × 0.26</t>
        </is>
      </c>
      <c r="G10" s="3">
        <v>1</v>
      </c>
    </row>
    <row r="11" ht="66" customHeight="1">
      <c r="A11" s="4" t="inlineStr">
        <is>
          <t xml:space="preserve">coral-blue-tube</t>
        </is>
      </c>
      <c r="B11" s="3">
        <f>IMAGE("https://pub-590970a58ce5426989b3bcd2897271b4.r2.dev/sheet-images/decor/coral-blue-tube.png?v=fc800238")</f>
      </c>
      <c r="C11" s="4" t="inlineStr">
        <is>
          <t xml:space="preserve">San hô ống xanh</t>
        </is>
      </c>
      <c r="D11" s="4" t="inlineStr">
        <is>
          <t xml:space="preserve">Tiểu cảnh san hô 3D · Bộ mẫu đã duyệt</t>
        </is>
      </c>
      <c r="E11" s="4">
        <v>270</v>
      </c>
      <c r="F11" s="3" t="inlineStr">
        <is>
          <t xml:space="preserve">0.19 × 0.32 × 0.25</t>
        </is>
      </c>
      <c r="G11" s="3">
        <v>1</v>
      </c>
    </row>
    <row r="12" ht="66" customHeight="1">
      <c r="A12" s="4" t="inlineStr">
        <is>
          <t xml:space="preserve">coral-lobophyllia</t>
        </is>
      </c>
      <c r="B12" s="3">
        <f>IMAGE("https://pub-590970a58ce5426989b3bcd2897271b4.r2.dev/sheet-images/decor/coral-lobophyllia.png?v=89fd7a69")</f>
      </c>
      <c r="C12" s="4" t="inlineStr">
        <is>
          <t xml:space="preserve">San hô thịt hồng cam</t>
        </is>
      </c>
      <c r="D12" s="4" t="inlineStr">
        <is>
          <t xml:space="preserve">Tiểu cảnh san hô 3D · Bộ mẫu đã duyệt</t>
        </is>
      </c>
      <c r="E12" s="4">
        <v>290</v>
      </c>
      <c r="F12" s="3" t="inlineStr">
        <is>
          <t xml:space="preserve">0.21 × 0.14 × 0.23</t>
        </is>
      </c>
      <c r="G12" s="3">
        <v>1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  <col min="6" max="6" width="26" customWidth="1"/>
    <col min="7" max="7" width="8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  <c r="F1" s="2" t="inlineStr">
        <is>
          <t xml:space="preserve">kích thước (R × C × S)</t>
        </is>
      </c>
      <c r="G1" s="2" t="inlineStr">
        <is>
          <t xml:space="preserve">điểm</t>
        </is>
      </c>
    </row>
    <row r="2" ht="66" customHeight="1">
      <c r="A2" s="4" t="inlineStr">
        <is>
          <t xml:space="preserve">hornwort</t>
        </is>
      </c>
      <c r="B2" s="3">
        <f>IMAGE("https://pub-590970a58ce5426989b3bcd2897271b4.r2.dev/sheet-images/decor/hornwort.png?v=e4098bc0")</f>
      </c>
      <c r="C2" s="4" t="inlineStr">
        <is>
          <t xml:space="preserve">Rong đuôi chó</t>
        </is>
      </c>
      <c r="D2" s="4" t="inlineStr">
        <is>
          <t xml:space="preserve">Cây thủy sinh trồng nền · Lá đung đưa theo dòng nước</t>
        </is>
      </c>
      <c r="E2" s="4">
        <v>60</v>
      </c>
      <c r="F2" s="3" t="inlineStr">
        <is>
          <t xml:space="preserve">0.23 × 0.49 × 0.23</t>
        </is>
      </c>
      <c r="G2" s="3">
        <v>1</v>
      </c>
    </row>
    <row r="3" ht="66" customHeight="1">
      <c r="A3" s="4" t="inlineStr">
        <is>
          <t xml:space="preserve">cabomba</t>
        </is>
      </c>
      <c r="B3" s="3">
        <f>IMAGE("https://pub-590970a58ce5426989b3bcd2897271b4.r2.dev/sheet-images/decor/cabomba.png?v=a4c09fc0")</f>
      </c>
      <c r="C3" s="4" t="inlineStr">
        <is>
          <t xml:space="preserve">Rong la hán</t>
        </is>
      </c>
      <c r="D3" s="4" t="inlineStr">
        <is>
          <t xml:space="preserve">Cây thủy sinh trồng nền · Lá đung đưa theo dòng nước</t>
        </is>
      </c>
      <c r="E3" s="4">
        <v>75</v>
      </c>
      <c r="F3" s="3" t="inlineStr">
        <is>
          <t xml:space="preserve">0.25 × 0.49 × 0.24</t>
        </is>
      </c>
      <c r="G3" s="3">
        <v>1</v>
      </c>
    </row>
    <row r="4" ht="66" customHeight="1">
      <c r="A4" s="4" t="inlineStr">
        <is>
          <t xml:space="preserve">vallisneria</t>
        </is>
      </c>
      <c r="B4" s="3">
        <f>IMAGE("https://pub-590970a58ce5426989b3bcd2897271b4.r2.dev/sheet-images/decor/vallisneria.png?v=396e176d")</f>
      </c>
      <c r="C4" s="4" t="inlineStr">
        <is>
          <t xml:space="preserve">Cỏ Vallisneria</t>
        </is>
      </c>
      <c r="D4" s="4" t="inlineStr">
        <is>
          <t xml:space="preserve">Cây thủy sinh trồng nền · Lá đung đưa theo dòng nước</t>
        </is>
      </c>
      <c r="E4" s="4">
        <v>80</v>
      </c>
      <c r="F4" s="3" t="inlineStr">
        <is>
          <t xml:space="preserve">0.30 × 0.51 × 0.28</t>
        </is>
      </c>
      <c r="G4" s="3">
        <v>1</v>
      </c>
    </row>
    <row r="5" ht="66" customHeight="1">
      <c r="A5" s="4" t="inlineStr">
        <is>
          <t xml:space="preserve">rotala</t>
        </is>
      </c>
      <c r="B5" s="3">
        <f>IMAGE("https://pub-590970a58ce5426989b3bcd2897271b4.r2.dev/sheet-images/decor/rotala.png?v=1600b205")</f>
      </c>
      <c r="C5" s="4" t="inlineStr">
        <is>
          <t xml:space="preserve">Hồng liễu Rotala</t>
        </is>
      </c>
      <c r="D5" s="4" t="inlineStr">
        <is>
          <t xml:space="preserve">Cây thủy sinh trồng nền · Lá đung đưa theo dòng nước</t>
        </is>
      </c>
      <c r="E5" s="4">
        <v>100</v>
      </c>
      <c r="F5" s="3" t="inlineStr">
        <is>
          <t xml:space="preserve">0.19 × 0.50 × 0.21</t>
        </is>
      </c>
      <c r="G5" s="3">
        <v>1</v>
      </c>
    </row>
    <row r="6" ht="66" customHeight="1">
      <c r="A6" s="4" t="inlineStr">
        <is>
          <t xml:space="preserve">anubias-petite</t>
        </is>
      </c>
      <c r="B6" s="3">
        <f>IMAGE("https://pub-590970a58ce5426989b3bcd2897271b4.r2.dev/sheet-images/decor/anubias-petite.png?v=30b5a2fa")</f>
      </c>
      <c r="C6" s="4" t="inlineStr">
        <is>
          <t xml:space="preserve">Ráy nana petite</t>
        </is>
      </c>
      <c r="D6" s="4" t="inlineStr">
        <is>
          <t xml:space="preserve">Trồng trên nền hoặc kéo lên lũa, đá để gắn</t>
        </is>
      </c>
      <c r="E6" s="4">
        <v>120</v>
      </c>
      <c r="F6" s="3" t="inlineStr">
        <is>
          <t xml:space="preserve">0.22 × 0.21 × 0.21</t>
        </is>
      </c>
      <c r="G6" s="3">
        <v>1</v>
      </c>
    </row>
    <row r="7" ht="66" customHeight="1">
      <c r="A7" s="4" t="inlineStr">
        <is>
          <t xml:space="preserve">java-fern</t>
        </is>
      </c>
      <c r="B7" s="3">
        <f>IMAGE("https://pub-590970a58ce5426989b3bcd2897271b4.r2.dev/sheet-images/decor/java-fern.png?v=6c5c92cf")</f>
      </c>
      <c r="C7" s="4" t="inlineStr">
        <is>
          <t xml:space="preserve">Dương xỉ Java</t>
        </is>
      </c>
      <c r="D7" s="4" t="inlineStr">
        <is>
          <t xml:space="preserve">Trồng trên nền hoặc kéo lên lũa, đá để gắn</t>
        </is>
      </c>
      <c r="E7" s="4">
        <v>130</v>
      </c>
      <c r="F7" s="3" t="inlineStr">
        <is>
          <t xml:space="preserve">0.33 × 0.33 × 0.38</t>
        </is>
      </c>
      <c r="G7" s="3">
        <v>1</v>
      </c>
    </row>
    <row r="8" ht="66" customHeight="1">
      <c r="A8" s="4" t="inlineStr">
        <is>
          <t xml:space="preserve">starter-anubias</t>
        </is>
      </c>
      <c r="B8" s="3">
        <f>IMAGE("https://pub-590970a58ce5426989b3bcd2897271b4.r2.dev/sheet-images/decor/starter-anubias.png?v=c6288cfa")</f>
      </c>
      <c r="C8" s="4" t="inlineStr">
        <is>
          <t xml:space="preserve">Ráy Anubias</t>
        </is>
      </c>
      <c r="D8" s="4" t="inlineStr">
        <is>
          <t xml:space="preserve">Cây lá rộng · Trồng nền hoặc gắn lên lũa, đá</t>
        </is>
      </c>
      <c r="E8" s="4">
        <v>140</v>
      </c>
      <c r="F8" s="3" t="inlineStr">
        <is>
          <t xml:space="preserve">0.78 × 0.78 × 0.90</t>
        </is>
      </c>
      <c r="G8" s="3">
        <v>1</v>
      </c>
    </row>
    <row r="9" ht="66" customHeight="1">
      <c r="A9" s="4" t="inlineStr">
        <is>
          <t xml:space="preserve">vallisneria-tall</t>
        </is>
      </c>
      <c r="B9" s="3">
        <f>IMAGE("https://pub-590970a58ce5426989b3bcd2897271b4.r2.dev/sheet-images/decor/vallisneria-tall.png?v=a37bd736")</f>
      </c>
      <c r="C9" s="4" t="inlineStr">
        <is>
          <t xml:space="preserve">Hẹ nước Vallisneria cao</t>
        </is>
      </c>
      <c r="D9" s="4" t="inlineStr">
        <is>
          <t xml:space="preserve">Cây hậu cảnh lá dài gần chạm mặt nước · Trồng sát kính sau · 1 điểm</t>
        </is>
      </c>
      <c r="E9" s="4">
        <v>120</v>
      </c>
      <c r="F9" s="3" t="inlineStr">
        <is>
          <t xml:space="preserve">0.64 × 1.82 × 0.62</t>
        </is>
      </c>
      <c r="G9" s="3">
        <v>1</v>
      </c>
    </row>
    <row r="10" ht="66" customHeight="1">
      <c r="A10" s="4" t="inlineStr">
        <is>
          <t xml:space="preserve">rotala-tall</t>
        </is>
      </c>
      <c r="B10" s="3">
        <f>IMAGE("https://pub-590970a58ce5426989b3bcd2897271b4.r2.dev/sheet-images/decor/rotala-tall.png?v=70074055")</f>
      </c>
      <c r="C10" s="4" t="inlineStr">
        <is>
          <t xml:space="preserve">Hồng liễu Rotala cao</t>
        </is>
      </c>
      <c r="D10" s="4" t="inlineStr">
        <is>
          <t xml:space="preserve">Bụi thân đứng cao, ngọn đỏ cam · Trồng hậu cảnh · 1 điểm</t>
        </is>
      </c>
      <c r="E10" s="4">
        <v>150</v>
      </c>
      <c r="F10" s="3" t="inlineStr">
        <is>
          <t xml:space="preserve">0.20 × 1.51 × 0.22</t>
        </is>
      </c>
      <c r="G10" s="3">
        <v>1</v>
      </c>
    </row>
    <row r="11" ht="66" customHeight="1">
      <c r="A11" s="4" t="inlineStr">
        <is>
          <t xml:space="preserve">amazon-sword</t>
        </is>
      </c>
      <c r="B11" s="3">
        <f>IMAGE("https://pub-590970a58ce5426989b3bcd2897271b4.r2.dev/sheet-images/decor/amazon-sword.png?v=8692bbc2")</f>
      </c>
      <c r="C11" s="4" t="inlineStr">
        <is>
          <t xml:space="preserve">Kiếm Amazon</t>
        </is>
      </c>
      <c r="D11" s="4" t="inlineStr">
        <is>
          <t xml:space="preserve">Bụi lá to hình lưỡi kiếm, làm điểm nhấn trung cảnh · Tỉa hoặc cho mọc cao · 2 điểm</t>
        </is>
      </c>
      <c r="E11" s="4">
        <v>200</v>
      </c>
      <c r="F11" s="3" t="inlineStr">
        <is>
          <t xml:space="preserve">0.47 × 0.65 × 0.77</t>
        </is>
      </c>
      <c r="G11" s="3">
        <v>2</v>
      </c>
    </row>
    <row r="12" ht="66" customHeight="1">
      <c r="A12" s="4" t="inlineStr">
        <is>
          <t xml:space="preserve">ludwigia-red</t>
        </is>
      </c>
      <c r="B12" s="3">
        <f>IMAGE("https://pub-590970a58ce5426989b3bcd2897271b4.r2.dev/sheet-images/decor/ludwigia-red.png?v=23cc607d")</f>
      </c>
      <c r="C12" s="4" t="inlineStr">
        <is>
          <t xml:space="preserve">Rau mương đỏ Super Red</t>
        </is>
      </c>
      <c r="D12" s="4" t="inlineStr">
        <is>
          <t xml:space="preserve">Bụi thân đứng, lá tròn chuyển từ xanh sang đỏ rượu ở ngọn · Trồng hậu cảnh · 1 điểm</t>
        </is>
      </c>
      <c r="E12" s="4">
        <v>150</v>
      </c>
      <c r="F12" s="3" t="inlineStr">
        <is>
          <t xml:space="preserve">0.30 × 1.05 × 0.35</t>
        </is>
      </c>
      <c r="G12" s="3">
        <v>1</v>
      </c>
    </row>
    <row r="13" ht="66" customHeight="1">
      <c r="A13" s="4" t="inlineStr">
        <is>
          <t xml:space="preserve">water-wisteria</t>
        </is>
      </c>
      <c r="B13" s="3">
        <f>IMAGE("https://pub-590970a58ce5426989b3bcd2897271b4.r2.dev/sheet-images/decor/water-wisteria.png?v=8146d316")</f>
      </c>
      <c r="C13" s="4" t="inlineStr">
        <is>
          <t xml:space="preserve">Thuỷ cúc</t>
        </is>
      </c>
      <c r="D13" s="4" t="inlineStr">
        <is>
          <t xml:space="preserve">Lá xẻ thuỳ như ren, xanh non · Trồng hậu cảnh · 1 điểm</t>
        </is>
      </c>
      <c r="E13" s="4">
        <v>110</v>
      </c>
      <c r="F13" s="3" t="inlineStr">
        <is>
          <t xml:space="preserve">0.39 × 0.86 × 0.37</t>
        </is>
      </c>
      <c r="G13" s="3">
        <v>1</v>
      </c>
    </row>
    <row r="14" ht="66" customHeight="1">
      <c r="A14" s="4" t="inlineStr">
        <is>
          <t xml:space="preserve">anubias-hammock</t>
        </is>
      </c>
      <c r="B14" s="3">
        <f>IMAGE("https://pub-590970a58ce5426989b3bcd2897271b4.r2.dev/sheet-images/decor/anubias-hammock.png?v=9729f156")</f>
      </c>
      <c r="C14" s="4" t="inlineStr">
        <is>
          <t xml:space="preserve">Ráy lá võng</t>
        </is>
      </c>
      <c r="D14" s="4" t="inlineStr">
        <is>
          <t xml:space="preserve">Một lá to nằm ngang gần mặt nước cho betta nghỉ · Hậu, trung cảnh · 1 điểm</t>
        </is>
      </c>
      <c r="E14" s="4">
        <v>160</v>
      </c>
      <c r="F14" s="3" t="inlineStr">
        <is>
          <t xml:space="preserve">0.42 × 0.89 × 0.23</t>
        </is>
      </c>
      <c r="G14" s="3">
        <v>1</v>
      </c>
    </row>
    <row r="15" ht="66" customHeight="1">
      <c r="A15" s="4" t="inlineStr">
        <is>
          <t xml:space="preserve">tiger-lotus-red</t>
        </is>
      </c>
      <c r="B15" s="3">
        <f>IMAGE("https://pub-590970a58ce5426989b3bcd2897271b4.r2.dev/sheet-images/decor/tiger-lotus-red.png?v=df0ae515")</f>
      </c>
      <c r="C15" s="4" t="inlineStr">
        <is>
          <t xml:space="preserve">Súng hổ đỏ</t>
        </is>
      </c>
      <c r="D15" s="4" t="inlineStr">
        <is>
          <t xml:space="preserve">Bụi lá đỏ tía có vân, thêm lá súng vươn lên gần mặt nước · Điểm nhấn trung cảnh · 2 điểm</t>
        </is>
      </c>
      <c r="E15" s="4">
        <v>260</v>
      </c>
      <c r="F15" s="3" t="inlineStr">
        <is>
          <t xml:space="preserve">0.71 × 1.72 × 0.60</t>
        </is>
      </c>
      <c r="G15" s="3">
        <v>2</v>
      </c>
    </row>
    <row r="16" ht="66" customHeight="1">
      <c r="A16" s="4" t="inlineStr">
        <is>
          <t xml:space="preserve">madagascar-lace</t>
        </is>
      </c>
      <c r="B16" s="3">
        <f>IMAGE("https://pub-590970a58ce5426989b3bcd2897271b4.r2.dev/sheet-images/decor/madagascar-lace.png?v=a11ccf37")</f>
      </c>
      <c r="C16" s="4" t="inlineStr">
        <is>
          <t xml:space="preserve">Lưới Madagascar</t>
        </is>
      </c>
      <c r="D16" s="4" t="inlineStr">
        <is>
          <t xml:space="preserve">Lá dài như tấm lưới đan, nhìn xuyên qua được · Cây hiếm cho trung cảnh · 2 điểm</t>
        </is>
      </c>
      <c r="E16" s="4">
        <v>320</v>
      </c>
      <c r="F16" s="3" t="inlineStr">
        <is>
          <t xml:space="preserve">0.57 × 0.39 × 0.47</t>
        </is>
      </c>
      <c r="G16" s="3">
        <v>2</v>
      </c>
    </row>
    <row r="17" ht="66" customHeight="1">
      <c r="A17" s="4" t="inlineStr">
        <is>
          <t xml:space="preserve">crypt-wendtii</t>
        </is>
      </c>
      <c r="B17" s="3">
        <f>IMAGE("https://pub-590970a58ce5426989b3bcd2897271b4.r2.dev/sheet-images/decor/crypt-wendtii.png?v=4c7a6291")</f>
      </c>
      <c r="C17" s="4" t="inlineStr">
        <is>
          <t xml:space="preserve">Ráy Crypt nâu</t>
        </is>
      </c>
      <c r="D17" s="4" t="inlineStr">
        <is>
          <t xml:space="preserve">Bụi lá thuôn mép gợn sóng màu đồng nâu · Trung cảnh · 1 điểm</t>
        </is>
      </c>
      <c r="E17" s="4">
        <v>100</v>
      </c>
      <c r="F17" s="3" t="inlineStr">
        <is>
          <t xml:space="preserve">0.27 × 0.21 × 0.21</t>
        </is>
      </c>
      <c r="G17" s="3">
        <v>1</v>
      </c>
    </row>
    <row r="18" ht="66" customHeight="1">
      <c r="A18" s="4" t="inlineStr">
        <is>
          <t xml:space="preserve">alternanthera-mini</t>
        </is>
      </c>
      <c r="B18" s="3">
        <f>IMAGE("https://pub-590970a58ce5426989b3bcd2897271b4.r2.dev/sheet-images/decor/alternanthera-mini.png?v=884ec291")</f>
      </c>
      <c r="C18" s="4" t="inlineStr">
        <is>
          <t xml:space="preserve">Huyết tâm lan mini</t>
        </is>
      </c>
      <c r="D18" s="4" t="inlineStr">
        <is>
          <t xml:space="preserve">Bụi rậm lá nhỏ hồng đỏ · Thêm màu ấm giữa hồ · 1 điểm</t>
        </is>
      </c>
      <c r="E18" s="4">
        <v>130</v>
      </c>
      <c r="F18" s="3" t="inlineStr">
        <is>
          <t xml:space="preserve">0.21 × 0.19 × 0.21</t>
        </is>
      </c>
      <c r="G18" s="3">
        <v>1</v>
      </c>
    </row>
    <row r="19" ht="66" customHeight="1">
      <c r="A19" s="4" t="inlineStr">
        <is>
          <t xml:space="preserve">bucephalandra</t>
        </is>
      </c>
      <c r="B19" s="3">
        <f>IMAGE("https://pub-590970a58ce5426989b3bcd2897271b4.r2.dev/sheet-images/decor/bucephalandra.png?v=02901a05")</f>
      </c>
      <c r="C19" s="4" t="inlineStr">
        <is>
          <t xml:space="preserve">Ráy Buce xanh ánh kim</t>
        </is>
      </c>
      <c r="D19" s="4" t="inlineStr">
        <is>
          <t xml:space="preserve">Lá nhỏ xanh thẫm ánh xanh dương, lá non đỏ nâu · Trồng trên nền hoặc kéo lên lũa, đá để gắn</t>
        </is>
      </c>
      <c r="E19" s="4">
        <v>140</v>
      </c>
      <c r="F19" s="3" t="inlineStr">
        <is>
          <t xml:space="preserve">0.11 × 0.06 × 0.06</t>
        </is>
      </c>
      <c r="G19" s="3">
        <v>1</v>
      </c>
    </row>
    <row r="20" ht="66" customHeight="1">
      <c r="A20" s="4" t="inlineStr">
        <is>
          <t xml:space="preserve">downoi</t>
        </is>
      </c>
      <c r="B20" s="3">
        <f>IMAGE("https://pub-590970a58ce5426989b3bcd2897271b4.r2.dev/sheet-images/decor/downoi.png?v=93c51ee0")</f>
      </c>
      <c r="C20" s="4" t="inlineStr">
        <is>
          <t xml:space="preserve">Downoi lá xoăn</t>
        </is>
      </c>
      <c r="D20" s="4" t="inlineStr">
        <is>
          <t xml:space="preserve">Các cụm hoa thị nhỏ lá xoăn xanh tươi · Trồng tiền cảnh</t>
        </is>
      </c>
      <c r="E20" s="4">
        <v>90</v>
      </c>
      <c r="F20" s="3" t="inlineStr">
        <is>
          <t xml:space="preserve">0.19 × 0.01 × 0.18</t>
        </is>
      </c>
      <c r="G20" s="3">
        <v>1</v>
      </c>
    </row>
    <row r="21" ht="66" customHeight="1">
      <c r="A21" s="4" t="inlineStr">
        <is>
          <t xml:space="preserve">mosaic-plant</t>
        </is>
      </c>
      <c r="B21" s="3">
        <f>IMAGE("https://pub-590970a58ce5426989b3bcd2897271b4.r2.dev/sheet-images/decor/mosaic-plant.png?v=1d3109c4")</f>
      </c>
      <c r="C21" s="4" t="inlineStr">
        <is>
          <t xml:space="preserve">Bèo khảm đỏ</t>
        </is>
      </c>
      <c r="D21" s="4" t="inlineStr">
        <is>
          <t xml:space="preserve">Thân dài từ đáy, nở hoa thị lá hình thoi như tranh khảm gần mặt nước · 1 điểm</t>
        </is>
      </c>
      <c r="E21" s="4">
        <v>190</v>
      </c>
      <c r="F21" s="3" t="inlineStr">
        <is>
          <t xml:space="preserve">0.47 × 1.74 × 0.49</t>
        </is>
      </c>
      <c r="G21" s="3">
        <v>1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  <col min="6" max="6" width="26" customWidth="1"/>
    <col min="7" max="7" width="8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  <c r="F1" s="2" t="inlineStr">
        <is>
          <t xml:space="preserve">kích thước (R × C × S)</t>
        </is>
      </c>
      <c r="G1" s="2" t="inlineStr">
        <is>
          <t xml:space="preserve">điểm</t>
        </is>
      </c>
    </row>
    <row r="2" ht="66" customHeight="1">
      <c r="A2" s="4" t="inlineStr">
        <is>
          <t xml:space="preserve">java-moss</t>
        </is>
      </c>
      <c r="B2" s="3">
        <f>IMAGE("https://pub-590970a58ce5426989b3bcd2897271b4.r2.dev/sheet-images/decor/java-moss.png?v=5cda24f3")</f>
      </c>
      <c r="C2" s="4" t="inlineStr">
        <is>
          <t xml:space="preserve">Rêu Java</t>
        </is>
      </c>
      <c r="D2" s="4" t="inlineStr">
        <is>
          <t xml:space="preserve">Trồng trên nền hoặc kéo lên lũa, đá để gắn</t>
        </is>
      </c>
      <c r="E2" s="4">
        <v>80</v>
      </c>
      <c r="F2" s="3" t="inlineStr">
        <is>
          <t xml:space="preserve">0.18 × 0.10 × 0.20</t>
        </is>
      </c>
      <c r="G2" s="3">
        <v>1</v>
      </c>
    </row>
    <row r="3" ht="66" customHeight="1">
      <c r="A3" s="4" t="inlineStr">
        <is>
          <t xml:space="preserve">christmas-moss</t>
        </is>
      </c>
      <c r="B3" s="3">
        <f>IMAGE("https://pub-590970a58ce5426989b3bcd2897271b4.r2.dev/sheet-images/decor/christmas-moss.png?v=d1f42300")</f>
      </c>
      <c r="C3" s="4" t="inlineStr">
        <is>
          <t xml:space="preserve">Rêu Christmas</t>
        </is>
      </c>
      <c r="D3" s="4" t="inlineStr">
        <is>
          <t xml:space="preserve">Trồng trên nền hoặc kéo lên lũa, đá để gắn</t>
        </is>
      </c>
      <c r="E3" s="4">
        <v>100</v>
      </c>
      <c r="F3" s="3" t="inlineStr">
        <is>
          <t xml:space="preserve">0.19 × 0.10 × 0.20</t>
        </is>
      </c>
      <c r="G3" s="3">
        <v>1</v>
      </c>
    </row>
    <row r="4" ht="66" customHeight="1">
      <c r="A4" s="4" t="inlineStr">
        <is>
          <t xml:space="preserve">mini-fiss</t>
        </is>
      </c>
      <c r="B4" s="3">
        <f>IMAGE("https://pub-590970a58ce5426989b3bcd2897271b4.r2.dev/sheet-images/decor/mini-fiss.png?v=dff72601")</f>
      </c>
      <c r="C4" s="4" t="inlineStr">
        <is>
          <t xml:space="preserve">Rêu mini fiss</t>
        </is>
      </c>
      <c r="D4" s="4" t="inlineStr">
        <is>
          <t xml:space="preserve">Trồng trên nền hoặc kéo lên lũa, đá để gắn</t>
        </is>
      </c>
      <c r="E4" s="4">
        <v>110</v>
      </c>
      <c r="F4" s="3" t="inlineStr">
        <is>
          <t xml:space="preserve">0.11 × 0.03 × 0.11</t>
        </is>
      </c>
      <c r="G4" s="3">
        <v>1</v>
      </c>
    </row>
    <row r="5" ht="66" customHeight="1">
      <c r="A5" s="4" t="inlineStr">
        <is>
          <t xml:space="preserve">moss-mini-taiwan</t>
        </is>
      </c>
      <c r="B5" s="3">
        <f>IMAGE("https://pub-590970a58ce5426989b3bcd2897271b4.r2.dev/sheet-images/decor/moss-mini-taiwan.png?v=c8884ab5")</f>
      </c>
      <c r="C5" s="4" t="inlineStr">
        <is>
          <t xml:space="preserve">Rêu Mini Taiwan</t>
        </is>
      </c>
      <c r="D5" s="4" t="inlineStr">
        <is>
          <t xml:space="preserve">Taxiphyllum alternans · Lá li ti mọc thành thảm dày · Gắn lên đá, lũa hoặc trải nền</t>
        </is>
      </c>
      <c r="E5" s="4">
        <v>90</v>
      </c>
      <c r="F5" s="3" t="inlineStr">
        <is>
          <t xml:space="preserve">0.14 × 0.02 × 0.13</t>
        </is>
      </c>
      <c r="G5" s="3">
        <v>1</v>
      </c>
    </row>
    <row r="6" ht="66" customHeight="1">
      <c r="A6" s="4" t="inlineStr">
        <is>
          <t xml:space="preserve">moss-weeping</t>
        </is>
      </c>
      <c r="B6" s="3">
        <f>IMAGE("https://pub-590970a58ce5426989b3bcd2897271b4.r2.dev/sheet-images/decor/moss-weeping.png?v=e0949b6b")</f>
      </c>
      <c r="C6" s="4" t="inlineStr">
        <is>
          <t xml:space="preserve">Rêu Weeping</t>
        </is>
      </c>
      <c r="D6" s="4" t="inlineStr">
        <is>
          <t xml:space="preserve">Vesicularia ferriei · Nhánh rủ như liễu, đẹp nhất trên lũa cao · Gắn lên đá, lũa hoặc nền</t>
        </is>
      </c>
      <c r="E6" s="4">
        <v>120</v>
      </c>
      <c r="F6" s="3" t="inlineStr">
        <is>
          <t xml:space="preserve">0.19 × 0.05 × 0.19</t>
        </is>
      </c>
      <c r="G6" s="3">
        <v>1</v>
      </c>
    </row>
    <row r="7" ht="66" customHeight="1">
      <c r="A7" s="4" t="inlineStr">
        <is>
          <t xml:space="preserve">moss-flame</t>
        </is>
      </c>
      <c r="B7" s="3">
        <f>IMAGE("https://pub-590970a58ce5426989b3bcd2897271b4.r2.dev/sheet-images/decor/moss-flame.png?v=38fe3e77")</f>
      </c>
      <c r="C7" s="4" t="inlineStr">
        <is>
          <t xml:space="preserve">Rêu Flame</t>
        </is>
      </c>
      <c r="D7" s="4" t="inlineStr">
        <is>
          <t xml:space="preserve">Taxiphyllum 'Flame' · Nhánh vươn thẳng, xoắn như ngọn lửa xanh · Gắn lên đá, lũa hoặc nền</t>
        </is>
      </c>
      <c r="E7" s="4">
        <v>130</v>
      </c>
      <c r="F7" s="3" t="inlineStr">
        <is>
          <t xml:space="preserve">0.11 × 0.10 × 0.10</t>
        </is>
      </c>
      <c r="G7" s="3">
        <v>1</v>
      </c>
    </row>
    <row r="8" ht="66" customHeight="1">
      <c r="A8" s="4" t="inlineStr">
        <is>
          <t xml:space="preserve">carpet-hairgrass</t>
        </is>
      </c>
      <c r="B8" s="3">
        <f>IMAGE("https://pub-590970a58ce5426989b3bcd2897271b4.r2.dev/sheet-images/decor/carpet-hairgrass.png?v=1733b7a6")</f>
      </c>
      <c r="C8" s="4" t="inlineStr">
        <is>
          <t xml:space="preserve">Thảm Ngưu mao chiên</t>
        </is>
      </c>
      <c r="D8" s="4" t="inlineStr">
        <is>
          <t xml:space="preserve">Gói 10 ô thảm tiền cảnh · Chọn rồi kéo trên cát để trải, Tẩy để xoá · Không tính điểm</t>
        </is>
      </c>
      <c r="E8" s="4">
        <v>60</v>
      </c>
      <c r="F8" s="3" t="inlineStr">
        <is>
          <t xml:space="preserve">0.23 × 0.09 × 0.16</t>
        </is>
      </c>
      <c r="G8" s="3">
        <v>0</v>
      </c>
    </row>
    <row r="9" ht="66" customHeight="1">
      <c r="A9" s="4" t="inlineStr">
        <is>
          <t xml:space="preserve">carpet-monte-carlo</t>
        </is>
      </c>
      <c r="B9" s="3">
        <f>IMAGE("https://pub-590970a58ce5426989b3bcd2897271b4.r2.dev/sheet-images/decor/carpet-monte-carlo.png?v=e41eea7c")</f>
      </c>
      <c r="C9" s="4" t="inlineStr">
        <is>
          <t xml:space="preserve">Thảm Trân châu Nhật</t>
        </is>
      </c>
      <c r="D9" s="4" t="inlineStr">
        <is>
          <t xml:space="preserve">Gói 10 ô thảm tiền cảnh · Chọn rồi kéo trên cát để trải, Tẩy để xoá · Không tính điểm</t>
        </is>
      </c>
      <c r="E9" s="4">
        <v>70</v>
      </c>
      <c r="F9" s="3" t="inlineStr">
        <is>
          <t xml:space="preserve">0.21 × 0.03 × 0.14</t>
        </is>
      </c>
      <c r="G9" s="3">
        <v>0</v>
      </c>
    </row>
    <row r="10" ht="66" customHeight="1">
      <c r="A10" s="4" t="inlineStr">
        <is>
          <t xml:space="preserve">carpet-hc-cuba</t>
        </is>
      </c>
      <c r="B10" s="3">
        <f>IMAGE("https://pub-590970a58ce5426989b3bcd2897271b4.r2.dev/sheet-images/decor/carpet-hc-cuba.png?v=d97430da")</f>
      </c>
      <c r="C10" s="4" t="inlineStr">
        <is>
          <t xml:space="preserve">Thảm Trân châu Cuba</t>
        </is>
      </c>
      <c r="D10" s="4" t="inlineStr">
        <is>
          <t xml:space="preserve">Lá li ti xanh non phủ kín như nhung · Gói 10 ô · Kéo trên cát, lũa, đá hoặc kính sau để trải, Tẩy để xoá · Không tính điểm</t>
        </is>
      </c>
      <c r="E10" s="4">
        <v>80</v>
      </c>
      <c r="F10" s="3" t="inlineStr">
        <is>
          <t xml:space="preserve">0.21 × 0.01 × 0.14</t>
        </is>
      </c>
      <c r="G10" s="3">
        <v>0</v>
      </c>
    </row>
    <row r="11" ht="66" customHeight="1">
      <c r="A11" s="4" t="inlineStr">
        <is>
          <t xml:space="preserve">carpet-java-moss</t>
        </is>
      </c>
      <c r="B11" s="3">
        <f>IMAGE("https://pub-590970a58ce5426989b3bcd2897271b4.r2.dev/sheet-images/decor/carpet-java-moss.png?v=d3c60282")</f>
      </c>
      <c r="C11" s="4" t="inlineStr">
        <is>
          <t xml:space="preserve">Thảm rêu Java</t>
        </is>
      </c>
      <c r="D11" s="4" t="inlineStr">
        <is>
          <t xml:space="preserve">Rêu lông vũ xanh đậm bò sát mặt lũa, đá · Gói 10 ô · Kéo trên cát, lũa, đá hoặc kính sau để trải, Tẩy để xoá · Không tính điểm</t>
        </is>
      </c>
      <c r="E11" s="4">
        <v>70</v>
      </c>
      <c r="F11" s="3" t="inlineStr">
        <is>
          <t xml:space="preserve">0.24 × 0.00 × 0.17</t>
        </is>
      </c>
      <c r="G11" s="3">
        <v>0</v>
      </c>
    </row>
    <row r="12" ht="66" customHeight="1">
      <c r="A12" s="4" t="inlineStr">
        <is>
          <t xml:space="preserve">carpet-riccia</t>
        </is>
      </c>
      <c r="B12" s="3">
        <f>IMAGE("https://pub-590970a58ce5426989b3bcd2897271b4.r2.dev/sheet-images/decor/carpet-riccia.png?v=cdd4d0c2")</f>
      </c>
      <c r="C12" s="4" t="inlineStr">
        <is>
          <t xml:space="preserve">Thảm rêu Riccia</t>
        </is>
      </c>
      <c r="D12" s="4" t="inlineStr">
        <is>
          <t xml:space="preserve">Tản rêu chẻ nhánh xanh chanh, bám đá thành đệm · Gói 10 ô · Kéo trên cát, lũa, đá hoặc kính sau để trải, Tẩy để xoá · Không tính điểm</t>
        </is>
      </c>
      <c r="E12" s="4">
        <v>75</v>
      </c>
      <c r="F12" s="3" t="inlineStr">
        <is>
          <t xml:space="preserve">0.24 × 0.01 × 0.16</t>
        </is>
      </c>
      <c r="G12" s="3">
        <v>0</v>
      </c>
    </row>
    <row r="13" ht="66" customHeight="1">
      <c r="A13" s="4" t="inlineStr">
        <is>
          <t xml:space="preserve">carpet-marimo</t>
        </is>
      </c>
      <c r="B13" s="3">
        <f>IMAGE("https://pub-590970a58ce5426989b3bcd2897271b4.r2.dev/sheet-images/decor/carpet-marimo.png?v=4bc73a3d")</f>
      </c>
      <c r="C13" s="4" t="inlineStr">
        <is>
          <t xml:space="preserve">Thảm tảo Marimo</t>
        </is>
      </c>
      <c r="D13" s="4" t="inlineStr">
        <is>
          <t xml:space="preserve">Tảo cầu xanh thẫm mọc thành đệm tròn mịn · Gói 10 ô · Kéo trên cát, lũa, đá hoặc kính sau để trải, Tẩy để xoá · Không tính điểm</t>
        </is>
      </c>
      <c r="E13" s="4">
        <v>90</v>
      </c>
      <c r="F13" s="3" t="inlineStr">
        <is>
          <t xml:space="preserve">0.20 × 0.01 × 0.13</t>
        </is>
      </c>
      <c r="G13" s="3">
        <v>0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  <col min="6" max="6" width="26" customWidth="1"/>
    <col min="7" max="7" width="8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  <c r="F1" s="2" t="inlineStr">
        <is>
          <t xml:space="preserve">kích thước (R × C × S)</t>
        </is>
      </c>
      <c r="G1" s="2" t="inlineStr">
        <is>
          <t xml:space="preserve">điểm</t>
        </is>
      </c>
    </row>
    <row r="2" ht="66" customHeight="1">
      <c r="A2" s="4" t="inlineStr">
        <is>
          <t xml:space="preserve">duckweed</t>
        </is>
      </c>
      <c r="B2" s="3">
        <f>IMAGE("https://pub-590970a58ce5426989b3bcd2897271b4.r2.dev/sheet-images/decor/duckweed.png?v=cffbdff3")</f>
      </c>
      <c r="C2" s="4" t="inlineStr">
        <is>
          <t xml:space="preserve">Bèo tấm</t>
        </is>
      </c>
      <c r="D2" s="4" t="inlineStr">
        <is>
          <t xml:space="preserve">Bèo nổi trên mặt nước · Kéo để sắp xếp từng cụm</t>
        </is>
      </c>
      <c r="E2" s="4">
        <v>40</v>
      </c>
      <c r="F2" s="3" t="inlineStr">
        <is>
          <t xml:space="preserve">0.17 × 0.05 × 0.15</t>
        </is>
      </c>
      <c r="G2" s="3">
        <v>1</v>
      </c>
    </row>
    <row r="3" ht="66" customHeight="1">
      <c r="A3" s="4" t="inlineStr">
        <is>
          <t xml:space="preserve">salvinia</t>
        </is>
      </c>
      <c r="B3" s="3">
        <f>IMAGE("https://pub-590970a58ce5426989b3bcd2897271b4.r2.dev/sheet-images/decor/salvinia.png?v=e72ba8af")</f>
      </c>
      <c r="C3" s="4" t="inlineStr">
        <is>
          <t xml:space="preserve">Bèo ong</t>
        </is>
      </c>
      <c r="D3" s="4" t="inlineStr">
        <is>
          <t xml:space="preserve">Bèo nổi trên mặt nước · Kéo để sắp xếp từng cụm</t>
        </is>
      </c>
      <c r="E3" s="4">
        <v>55</v>
      </c>
      <c r="F3" s="3" t="inlineStr">
        <is>
          <t xml:space="preserve">0.18 × 0.05 × 0.17</t>
        </is>
      </c>
      <c r="G3" s="3">
        <v>1</v>
      </c>
    </row>
    <row r="4" ht="66" customHeight="1">
      <c r="A4" s="4" t="inlineStr">
        <is>
          <t xml:space="preserve">frogbit</t>
        </is>
      </c>
      <c r="B4" s="3">
        <f>IMAGE("https://pub-590970a58ce5426989b3bcd2897271b4.r2.dev/sheet-images/decor/frogbit.png?v=f0f4d049")</f>
      </c>
      <c r="C4" s="4" t="inlineStr">
        <is>
          <t xml:space="preserve">Bèo Nhật</t>
        </is>
      </c>
      <c r="D4" s="4" t="inlineStr">
        <is>
          <t xml:space="preserve">Bèo nổi trên mặt nước · Kéo để sắp xếp từng cụm</t>
        </is>
      </c>
      <c r="E4" s="4">
        <v>70</v>
      </c>
      <c r="F4" s="3" t="inlineStr">
        <is>
          <t xml:space="preserve">0.22 × 0.15 × 0.16</t>
        </is>
      </c>
      <c r="G4" s="3">
        <v>1</v>
      </c>
    </row>
    <row r="5" ht="66" customHeight="1">
      <c r="A5" s="4" t="inlineStr">
        <is>
          <t xml:space="preserve">red-root-floater</t>
        </is>
      </c>
      <c r="B5" s="3">
        <f>IMAGE("https://pub-590970a58ce5426989b3bcd2897271b4.r2.dev/sheet-images/decor/red-root-floater.png?v=af905907")</f>
      </c>
      <c r="C5" s="4" t="inlineStr">
        <is>
          <t xml:space="preserve">Bèo rễ đỏ</t>
        </is>
      </c>
      <c r="D5" s="4" t="inlineStr">
        <is>
          <t xml:space="preserve">Lá tròn nhỏ đỏ, rễ đỏ buông xuống nước · Kéo để sắp xếp từng cụm</t>
        </is>
      </c>
      <c r="E5" s="4">
        <v>70</v>
      </c>
      <c r="F5" s="3" t="inlineStr">
        <is>
          <t xml:space="preserve">0.19 × 0.06 × 0.19</t>
        </is>
      </c>
      <c r="G5" s="3">
        <v>1</v>
      </c>
    </row>
    <row r="6" ht="66" customHeight="1">
      <c r="A6" s="4" t="inlineStr">
        <is>
          <t xml:space="preserve">water-lettuce</t>
        </is>
      </c>
      <c r="B6" s="3">
        <f>IMAGE("https://pub-590970a58ce5426989b3bcd2897271b4.r2.dev/sheet-images/decor/water-lettuce.png?v=7dbfeb6e")</f>
      </c>
      <c r="C6" s="4" t="inlineStr">
        <is>
          <t xml:space="preserve">Bèo cái mini</t>
        </is>
      </c>
      <c r="D6" s="4" t="inlineStr">
        <is>
          <t xml:space="preserve">Hoa thị lá nhung có gân, rễ tua dài, tạo bóng râm cho betta · Kéo để sắp xếp từng cụm</t>
        </is>
      </c>
      <c r="E6" s="4">
        <v>80</v>
      </c>
      <c r="F6" s="3" t="inlineStr">
        <is>
          <t xml:space="preserve">0.20 × 0.16 × 0.17</t>
        </is>
      </c>
      <c r="G6" s="3">
        <v>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</row>
    <row r="2" ht="66" customHeight="1">
      <c r="A2" s="4" t="inlineStr">
        <is>
          <t xml:space="preserve">wall_river</t>
        </is>
      </c>
      <c r="B2" s="3">
        <f>IMAGE("https://pub-590970a58ce5426989b3bcd2897271b4.r2.dev/sheet-images/surface/surface_wall_river.png?v=698c5aa5")</f>
      </c>
      <c r="C2" s="4" t="inlineStr">
        <is>
          <t xml:space="preserve">Đá sỏi</t>
        </is>
      </c>
      <c r="D2" s="4" t="inlineStr">
        <is>
          <t xml:space="preserve">Vách đá sỏi tự nhiên của hồ</t>
        </is>
      </c>
      <c r="E2" s="4">
        <v>150</v>
      </c>
    </row>
    <row r="3" ht="66" customHeight="1">
      <c r="A3" s="4" t="inlineStr">
        <is>
          <t xml:space="preserve">wall_slate</t>
        </is>
      </c>
      <c r="B3" s="3">
        <f>IMAGE("https://pub-590970a58ce5426989b3bcd2897271b4.r2.dev/sheet-images/surface/surface_wall_slate.png?v=02a7eb64")</f>
      </c>
      <c r="C3" s="4" t="inlineStr">
        <is>
          <t xml:space="preserve">Đá xám</t>
        </is>
      </c>
      <c r="D3" s="4" t="inlineStr">
        <is>
          <t xml:space="preserve">Vách đá phiến xám có vân nứt</t>
        </is>
      </c>
      <c r="E3" s="4">
        <v>150</v>
      </c>
    </row>
    <row r="4" ht="66" customHeight="1">
      <c r="A4" s="4" t="inlineStr">
        <is>
          <t xml:space="preserve">wall_brick</t>
        </is>
      </c>
      <c r="B4" s="3">
        <f>IMAGE("https://pub-590970a58ce5426989b3bcd2897271b4.r2.dev/sheet-images/surface/surface_wall_brick.png?v=1174e141")</f>
      </c>
      <c r="C4" s="4" t="inlineStr">
        <is>
          <t xml:space="preserve">Gạch nung</t>
        </is>
      </c>
      <c r="D4" s="4" t="inlineStr">
        <is>
          <t xml:space="preserve">Vách gạch đỏ xếp so le</t>
        </is>
      </c>
      <c r="E4" s="4">
        <v>200</v>
      </c>
    </row>
    <row r="5" ht="66" customHeight="1">
      <c r="A5" s="4" t="inlineStr">
        <is>
          <t xml:space="preserve">wall_planks</t>
        </is>
      </c>
      <c r="B5" s="3">
        <f>IMAGE("https://pub-590970a58ce5426989b3bcd2897271b4.r2.dev/sheet-images/surface/surface_wall_planks.png?v=d7b745e8")</f>
      </c>
      <c r="C5" s="4" t="inlineStr">
        <is>
          <t xml:space="preserve">Ván gỗ</t>
        </is>
      </c>
      <c r="D5" s="4" t="inlineStr">
        <is>
          <t xml:space="preserve">Vách ván gỗ dọc ấm áp</t>
        </is>
      </c>
      <c r="E5" s="4">
        <v>200</v>
      </c>
    </row>
    <row r="6" ht="66" customHeight="1">
      <c r="A6" s="4" t="inlineStr">
        <is>
          <t xml:space="preserve">wall_gold</t>
        </is>
      </c>
      <c r="B6" s="3">
        <f>IMAGE("https://pub-590970a58ce5426989b3bcd2897271b4.r2.dev/sheet-images/surface/surface_wall_gold.png?v=2289e50a")</f>
      </c>
      <c r="C6" s="4" t="inlineStr">
        <is>
          <t xml:space="preserve">Hoa văn vàng</t>
        </is>
      </c>
      <c r="D6" s="4" t="inlineStr">
        <is>
          <t xml:space="preserve">Hoa văn vàng nổi trên nền xanh đậm</t>
        </is>
      </c>
      <c r="E6" s="4">
        <v>250</v>
      </c>
    </row>
    <row r="7" ht="66" customHeight="1">
      <c r="A7" s="4" t="inlineStr">
        <is>
          <t xml:space="preserve">wall_jade</t>
        </is>
      </c>
      <c r="B7" s="3">
        <f>IMAGE("https://pub-590970a58ce5426989b3bcd2897271b4.r2.dev/sheet-images/surface/surface_wall_jade.png?v=20aa210b")</f>
      </c>
      <c r="C7" s="4" t="inlineStr">
        <is>
          <t xml:space="preserve">Hoa văn xanh ngọc</t>
        </is>
      </c>
      <c r="D7" s="4" t="inlineStr">
        <is>
          <t xml:space="preserve">Hoa văn xanh ngọc trên nền sáng</t>
        </is>
      </c>
      <c r="E7" s="4">
        <v>250</v>
      </c>
    </row>
    <row r="8" ht="66" customHeight="1">
      <c r="A8" s="4" t="inlineStr">
        <is>
          <t xml:space="preserve">wall_basalt</t>
        </is>
      </c>
      <c r="B8" s="3">
        <f>IMAGE("https://pub-590970a58ce5426989b3bcd2897271b4.r2.dev/sheet-images/surface/surface_wall_basalt.png?v=5d8a9b1f")</f>
      </c>
      <c r="C8" s="4" t="inlineStr">
        <is>
          <t xml:space="preserve">Đá núi lửa đen</t>
        </is>
      </c>
      <c r="D8" s="4" t="inlineStr">
        <is>
          <t xml:space="preserve">Vách đá núi lửa đen với khe nứt tự nhiên</t>
        </is>
      </c>
      <c r="E8" s="4">
        <v>400</v>
      </c>
    </row>
    <row r="9" ht="66" customHeight="1">
      <c r="A9" s="4" t="inlineStr">
        <is>
          <t xml:space="preserve">wall_limestone</t>
        </is>
      </c>
      <c r="B9" s="3">
        <f>IMAGE("https://pub-590970a58ce5426989b3bcd2897271b4.r2.dev/sheet-images/surface/surface_wall_limestone.png?v=09876e4e")</f>
      </c>
      <c r="C9" s="4" t="inlineStr">
        <is>
          <t xml:space="preserve">Đá vôi trắng</t>
        </is>
      </c>
      <c r="D9" s="4" t="inlineStr">
        <is>
          <t xml:space="preserve">Vách đá vôi trắng ngà với hốc đá mềm mại</t>
        </is>
      </c>
      <c r="E9" s="4">
        <v>400</v>
      </c>
    </row>
    <row r="10" ht="66" customHeight="1">
      <c r="A10" s="4" t="inlineStr">
        <is>
          <t xml:space="preserve">wall_sandstone</t>
        </is>
      </c>
      <c r="B10" s="3">
        <f>IMAGE("https://pub-590970a58ce5426989b3bcd2897271b4.r2.dev/sheet-images/surface/surface_wall_sandstone.png?v=a6b2f585")</f>
      </c>
      <c r="C10" s="4" t="inlineStr">
        <is>
          <t xml:space="preserve">Sa thạch phân tầng</t>
        </is>
      </c>
      <c r="D10" s="4" t="inlineStr">
        <is>
          <t xml:space="preserve">Vách sa thạch vàng cam với vân đá uốn lượn</t>
        </is>
      </c>
      <c r="E10" s="4">
        <v>450</v>
      </c>
    </row>
    <row r="11" ht="66" customHeight="1">
      <c r="A11" s="4" t="inlineStr">
        <is>
          <t xml:space="preserve">wall_amazon_roots</t>
        </is>
      </c>
      <c r="B11" s="3">
        <f>IMAGE("https://pub-590970a58ce5426989b3bcd2897271b4.r2.dev/sheet-images/surface/surface_wall_amazon_roots.png?v=82697650")</f>
      </c>
      <c r="C11" s="4" t="inlineStr">
        <is>
          <t xml:space="preserve">Rễ cây Amazon</t>
        </is>
      </c>
      <c r="D11" s="4" t="inlineStr">
        <is>
          <t xml:space="preserve">Vách rễ cây nâu đan xen như rừng ngập nước</t>
        </is>
      </c>
      <c r="E11" s="4">
        <v>550</v>
      </c>
    </row>
    <row r="12" ht="66" customHeight="1">
      <c r="A12" s="4" t="inlineStr">
        <is>
          <t xml:space="preserve">wall_frosted_aqua</t>
        </is>
      </c>
      <c r="B12" s="3">
        <f>IMAGE("https://pub-590970a58ce5426989b3bcd2897271b4.r2.dev/sheet-images/surface/surface_wall_frosted_aqua.png?v=5c556703")</f>
      </c>
      <c r="C12" s="4" t="inlineStr">
        <is>
          <t xml:space="preserve">Kính mờ xanh sương</t>
        </is>
      </c>
      <c r="D12" s="4" t="inlineStr">
        <is>
          <t xml:space="preserve">Vách kính mờ xanh ngọc nhạt dịu mắt</t>
        </is>
      </c>
      <c r="E12" s="4">
        <v>350</v>
      </c>
    </row>
    <row r="13" ht="66" customHeight="1">
      <c r="A13" s="4" t="inlineStr">
        <is>
          <t xml:space="preserve">wall_matte_black</t>
        </is>
      </c>
      <c r="B13" s="3">
        <f>IMAGE("https://pub-590970a58ce5426989b3bcd2897271b4.r2.dev/sheet-images/surface/surface_wall_matte_black.png?v=e777a8e3")</f>
      </c>
      <c r="C13" s="4" t="inlineStr">
        <is>
          <t xml:space="preserve">Đen nhám</t>
        </is>
      </c>
      <c r="D13" s="4" t="inlineStr">
        <is>
          <t xml:space="preserve">Vách đen nhám tối giản làm nổi bật màu cá</t>
        </is>
      </c>
      <c r="E13" s="4">
        <v>300</v>
      </c>
    </row>
    <row r="14" ht="66" customHeight="1">
      <c r="A14" s="4" t="inlineStr">
        <is>
          <t xml:space="preserve">wall_dragon_stone</t>
        </is>
      </c>
      <c r="B14" s="3">
        <f>IMAGE("https://pub-590970a58ce5426989b3bcd2897271b4.r2.dev/sheet-images/surface/surface_wall_dragon_stone.png?v=bc1e11b5")</f>
      </c>
      <c r="C14" s="4" t="inlineStr">
        <is>
          <t xml:space="preserve">Đá rồng</t>
        </is>
      </c>
      <c r="D14" s="4" t="inlineStr">
        <is>
          <t xml:space="preserve">Vách đá rồng màu đất với nhiều hốc phong hóa</t>
        </is>
      </c>
      <c r="E14" s="4">
        <v>500</v>
      </c>
    </row>
    <row r="15" ht="66" customHeight="1">
      <c r="A15" s="4" t="inlineStr">
        <is>
          <t xml:space="preserve">wall_pearl_marble</t>
        </is>
      </c>
      <c r="B15" s="3">
        <f>IMAGE("https://pub-590970a58ce5426989b3bcd2897271b4.r2.dev/sheet-images/surface/surface_wall_pearl_marble.png?v=044bf7a8")</f>
      </c>
      <c r="C15" s="4" t="inlineStr">
        <is>
          <t xml:space="preserve">Cẩm thạch ngọc trai</t>
        </is>
      </c>
      <c r="D15" s="4" t="inlineStr">
        <is>
          <t xml:space="preserve">Vách cẩm thạch trắng kem với đường vân thanh mảnh</t>
        </is>
      </c>
      <c r="E15" s="4">
        <v>550</v>
      </c>
    </row>
    <row r="16" ht="66" customHeight="1">
      <c r="A16" s="4" t="inlineStr">
        <is>
          <t xml:space="preserve">wall_turquoise_mosaic</t>
        </is>
      </c>
      <c r="B16" s="3">
        <f>IMAGE("https://pub-590970a58ce5426989b3bcd2897271b4.r2.dev/sheet-images/surface/surface_wall_turquoise_mosaic.png?v=6f44d7c7")</f>
      </c>
      <c r="C16" s="4" t="inlineStr">
        <is>
          <t xml:space="preserve">Mosaic xanh ngọc</t>
        </is>
      </c>
      <c r="D16" s="4" t="inlineStr">
        <is>
          <t xml:space="preserve">Vách gạch mosaic xanh ngọc với mạch gạch màu kem</t>
        </is>
      </c>
      <c r="E16" s="4">
        <v>600</v>
      </c>
    </row>
    <row r="17" ht="66" customHeight="1">
      <c r="A17" s="4" t="inlineStr">
        <is>
          <t xml:space="preserve">wall_sunken_relic</t>
        </is>
      </c>
      <c r="B17" s="3">
        <f>IMAGE("https://pub-590970a58ce5426989b3bcd2897271b4.r2.dev/sheet-images/surface/surface_wall_sunken_relic.png?v=936ca725")</f>
      </c>
      <c r="C17" s="4" t="inlineStr">
        <is>
          <t xml:space="preserve">Di tích chìm</t>
        </is>
      </c>
      <c r="D17" s="4" t="inlineStr">
        <is>
          <t xml:space="preserve">Vách đá cổ chạm khắc hình học phủ rêu nhẹ</t>
        </is>
      </c>
      <c r="E17" s="4">
        <v>650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</row>
    <row r="2" ht="66" customHeight="1">
      <c r="A2" s="4" t="inlineStr">
        <is>
          <t xml:space="preserve">sand_river</t>
        </is>
      </c>
      <c r="B2" s="3">
        <f>IMAGE("https://pub-590970a58ce5426989b3bcd2897271b4.r2.dev/sheet-images/surface/surface_sand_river.png?v=a335e3b8")</f>
      </c>
      <c r="C2" s="4" t="inlineStr">
        <is>
          <t xml:space="preserve">Cát vàng</t>
        </is>
      </c>
      <c r="D2" s="4" t="inlineStr">
        <is>
          <t xml:space="preserve">Cát sông vàng kèm sỏi nhỏ</t>
        </is>
      </c>
      <c r="E2" s="4">
        <v>100</v>
      </c>
    </row>
    <row r="3" ht="66" customHeight="1">
      <c r="A3" s="4" t="inlineStr">
        <is>
          <t xml:space="preserve">sand_white</t>
        </is>
      </c>
      <c r="B3" s="3">
        <f>IMAGE("https://pub-590970a58ce5426989b3bcd2897271b4.r2.dev/sheet-images/surface/surface_sand_white.png?v=b6607ff5")</f>
      </c>
      <c r="C3" s="4" t="inlineStr">
        <is>
          <t xml:space="preserve">Cát trắng</t>
        </is>
      </c>
      <c r="D3" s="4" t="inlineStr">
        <is>
          <t xml:space="preserve">Cát trắng mịn, hồ sáng hơn</t>
        </is>
      </c>
      <c r="E3" s="4">
        <v>150</v>
      </c>
    </row>
    <row r="4" ht="66" customHeight="1">
      <c r="A4" s="4" t="inlineStr">
        <is>
          <t xml:space="preserve">sand_black</t>
        </is>
      </c>
      <c r="B4" s="3">
        <f>IMAGE("https://pub-590970a58ce5426989b3bcd2897271b4.r2.dev/sheet-images/surface/surface_sand_black.png?v=361ea7e2")</f>
      </c>
      <c r="C4" s="4" t="inlineStr">
        <is>
          <t xml:space="preserve">Cát đen</t>
        </is>
      </c>
      <c r="D4" s="4" t="inlineStr">
        <is>
          <t xml:space="preserve">Cát đen làm nổi màu cá</t>
        </is>
      </c>
      <c r="E4" s="4">
        <v>150</v>
      </c>
    </row>
    <row r="5" ht="66" customHeight="1">
      <c r="A5" s="4" t="inlineStr">
        <is>
          <t xml:space="preserve">sand_pink</t>
        </is>
      </c>
      <c r="B5" s="3">
        <f>IMAGE("https://pub-590970a58ce5426989b3bcd2897271b4.r2.dev/sheet-images/surface/surface_sand_pink.png?v=2a9fa67c")</f>
      </c>
      <c r="C5" s="4" t="inlineStr">
        <is>
          <t xml:space="preserve">Cát hồng</t>
        </is>
      </c>
      <c r="D5" s="4" t="inlineStr">
        <is>
          <t xml:space="preserve">Cát hồng san hô mịn</t>
        </is>
      </c>
      <c r="E5" s="4">
        <v>200</v>
      </c>
    </row>
    <row r="6" ht="66" customHeight="1">
      <c r="A6" s="4" t="inlineStr">
        <is>
          <t xml:space="preserve">gravel_river</t>
        </is>
      </c>
      <c r="B6" s="3">
        <f>IMAGE("https://pub-590970a58ce5426989b3bcd2897271b4.r2.dev/sheet-images/surface/surface_gravel_river.png?v=37326e0b")</f>
      </c>
      <c r="C6" s="4" t="inlineStr">
        <is>
          <t xml:space="preserve">Sỏi suối</t>
        </is>
      </c>
      <c r="D6" s="4" t="inlineStr">
        <is>
          <t xml:space="preserve">Sỏi suối tròn nhiều màu</t>
        </is>
      </c>
      <c r="E6" s="4">
        <v>150</v>
      </c>
    </row>
    <row r="7" ht="66" customHeight="1">
      <c r="A7" s="4" t="inlineStr">
        <is>
          <t xml:space="preserve">gravel_black</t>
        </is>
      </c>
      <c r="B7" s="3">
        <f>IMAGE("https://pub-590970a58ce5426989b3bcd2897271b4.r2.dev/sheet-images/surface/surface_gravel_black.png?v=4e8b2c56")</f>
      </c>
      <c r="C7" s="4" t="inlineStr">
        <is>
          <t xml:space="preserve">Sỏi đen</t>
        </is>
      </c>
      <c r="D7" s="4" t="inlineStr">
        <is>
          <t xml:space="preserve">Sỏi đen bóng</t>
        </is>
      </c>
      <c r="E7" s="4">
        <v>200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  <col min="6" max="6" width="25" customWidth="1"/>
    <col min="7" max="7" width="19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  <c r="F1" s="2" t="inlineStr">
        <is>
          <t xml:space="preserve">kích thước (màn hình)</t>
        </is>
      </c>
      <c r="G1" s="2" t="inlineStr">
        <is>
          <t xml:space="preserve">sức chứa (điểm)</t>
        </is>
      </c>
    </row>
    <row r="2" ht="66" customHeight="1">
      <c r="A2" s="4" t="inlineStr">
        <is>
          <t xml:space="preserve">tank_square</t>
        </is>
      </c>
      <c r="B2" s="3"/>
      <c r="C2" s="4" t="inlineStr">
        <is>
          <t xml:space="preserve">Hồ vuông</t>
        </is>
      </c>
      <c r="D2" s="4" t="inlineStr">
        <is>
          <t xml:space="preserve">Rộng 1 màn hình · đáy vuông</t>
        </is>
      </c>
      <c r="E2" s="4">
        <v>0</v>
      </c>
      <c r="F2" s="3" t="inlineStr">
        <is>
          <t xml:space="preserve">rộng 1 × sâu 1</t>
        </is>
      </c>
      <c r="G2" s="3">
        <v>24</v>
      </c>
    </row>
    <row r="3" ht="66" customHeight="1">
      <c r="A3" s="4" t="inlineStr">
        <is>
          <t xml:space="preserve">tank_deep</t>
        </is>
      </c>
      <c r="B3" s="3"/>
      <c r="C3" s="4" t="inlineStr">
        <is>
          <t xml:space="preserve">Hồ sâu</t>
        </is>
      </c>
      <c r="D3" s="4" t="inlineStr">
        <is>
          <t xml:space="preserve">Rộng 1 màn hình · sâu gấp đôi</t>
        </is>
      </c>
      <c r="E3" s="4">
        <v>1500</v>
      </c>
      <c r="F3" s="3" t="inlineStr">
        <is>
          <t xml:space="preserve">rộng 1 × sâu 2</t>
        </is>
      </c>
      <c r="G3" s="3">
        <v>40</v>
      </c>
    </row>
    <row r="4" ht="66" customHeight="1">
      <c r="A4" s="4" t="inlineStr">
        <is>
          <t xml:space="preserve">tank_wide</t>
        </is>
      </c>
      <c r="B4" s="3"/>
      <c r="C4" s="4" t="inlineStr">
        <is>
          <t xml:space="preserve">Hồ rộng</t>
        </is>
      </c>
      <c r="D4" s="4" t="inlineStr">
        <is>
          <t xml:space="preserve">Rộng 1,5 màn hình · vuốt ngang để xem</t>
        </is>
      </c>
      <c r="E4" s="4">
        <v>2500</v>
      </c>
      <c r="F4" s="3" t="inlineStr">
        <is>
          <t xml:space="preserve">rộng 1.5 × sâu 1.5</t>
        </is>
      </c>
      <c r="G4" s="3">
        <v>48</v>
      </c>
    </row>
  </sheetData>
</worksheet>
</file>