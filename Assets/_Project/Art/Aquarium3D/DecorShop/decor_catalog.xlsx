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ói quà" sheetId="1" r:id="rId1"/>
    <sheet name="Cá" sheetId="2" r:id="rId2"/>
    <sheet name="Cá – hình dáng" sheetId="3" r:id="rId3"/>
    <sheet name="Cá – màu" sheetId="4" r:id="rId4"/>
    <sheet name="Cá – bề mặt" sheetId="5" r:id="rId5"/>
    <sheet name="Cá – vây" sheetId="6" r:id="rId6"/>
    <sheet name="Lũa" sheetId="7" r:id="rId7"/>
    <sheet name="Đá" sheetId="8" r:id="rId8"/>
    <sheet name="San hô" sheetId="9" r:id="rId9"/>
    <sheet name="Cây" sheetId="10" r:id="rId10"/>
    <sheet name="Rêu" sheetId="11" r:id="rId11"/>
    <sheet name="Bèo" sheetId="12" r:id="rId12"/>
    <sheet name="Thành hồ" sheetId="13" r:id="rId13"/>
    <sheet name="Cát nền" sheetId="14" r:id="rId14"/>
    <sheet name="Hồ" sheetId="15" r:id="rId15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name val="Arial"/>
    </font>
    <font>
      <sz val="11"/>
      <color rgb="FF707070"/>
      <name val="Arial"/>
    </font>
    <font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E3E3E3"/>
      </patternFill>
    </fill>
    <fill>
      <patternFill patternType="solid">
        <fgColor rgb="FF1F4FD1"/>
      </patternFill>
    </fill>
    <fill>
      <patternFill patternType="solid">
        <fgColor rgb="FFF2F2F2"/>
      </patternFill>
    </fill>
    <fill>
      <patternFill patternType="solid">
        <fgColor rgb="FF171717"/>
      </patternFill>
    </fill>
    <fill>
      <patternFill patternType="solid">
        <fgColor rgb="FFFFD133"/>
      </patternFill>
    </fill>
    <fill>
      <patternFill patternType="solid">
        <fgColor rgb="FF9E6B38"/>
      </patternFill>
    </fill>
    <fill>
      <patternFill patternType="solid">
        <fgColor rgb="FF80808C"/>
      </patternFill>
    </fill>
    <fill>
      <patternFill patternType="solid">
        <fgColor rgb="FF1A40D9"/>
      </patternFill>
    </fill>
    <fill>
      <patternFill patternType="solid">
        <fgColor rgb="FFFF991F"/>
      </patternFill>
    </fill>
    <fill>
      <patternFill patternType="solid">
        <fgColor rgb="FFD1140F"/>
      </patternFill>
    </fill>
    <fill>
      <patternFill patternType="solid">
        <fgColor rgb="FF0D2699"/>
      </patternFill>
    </fill>
    <fill>
      <patternFill patternType="solid">
        <fgColor rgb="FFEBEBF0"/>
      </patternFill>
    </fill>
    <fill>
      <patternFill patternType="solid">
        <fgColor rgb="FF38393D"/>
      </patternFill>
    </fill>
    <fill>
      <patternFill patternType="solid">
        <fgColor rgb="FFFF0808"/>
      </patternFill>
    </fill>
    <fill>
      <patternFill patternType="solid">
        <fgColor rgb="FFFFA80A"/>
      </patternFill>
    </fill>
    <fill>
      <patternFill patternType="solid">
        <fgColor rgb="FF4C4C54"/>
      </patternFill>
    </fill>
  </fills>
  <borders count="1">
    <border/>
  </borders>
  <cellStyleXfs count="1">
    <xf/>
  </cellStyleXfs>
  <cellXfs count="20">
    <xf/>
    <xf fontId="1" applyFont="1"/>
    <xf fontId="1" fillId="2" applyFont="1" applyFill="1"/>
    <xf fontId="2" fillId="2" applyFont="1" applyFill="1" applyAlignment="1">
      <alignment vertical="center"/>
    </xf>
    <xf applyAlignment="1">
      <alignment vertical="center" wrapText="1"/>
    </xf>
    <xf fontId="3" fillId="3" applyFont="1" applyFill="1" applyAlignment="1">
      <alignment vertical="center"/>
    </xf>
    <xf fontId="0" fillId="4" applyFont="1" applyFill="1" applyAlignment="1">
      <alignment vertical="center"/>
    </xf>
    <xf fontId="3" fillId="5" applyFont="1" applyFill="1" applyAlignment="1">
      <alignment vertical="center"/>
    </xf>
    <xf fontId="0" fillId="6" applyFont="1" applyFill="1" applyAlignment="1">
      <alignment vertical="center"/>
    </xf>
    <xf fontId="3" fillId="7" applyFont="1" applyFill="1" applyAlignment="1">
      <alignment vertical="center"/>
    </xf>
    <xf fontId="0" fillId="8" applyFont="1" applyFill="1" applyAlignment="1">
      <alignment vertical="center"/>
    </xf>
    <xf fontId="3" fillId="9" applyFont="1" applyFill="1" applyAlignment="1">
      <alignment vertical="center"/>
    </xf>
    <xf fontId="0" fillId="10" applyFont="1" applyFill="1" applyAlignment="1">
      <alignment vertical="center"/>
    </xf>
    <xf fontId="3" fillId="11" applyFont="1" applyFill="1" applyAlignment="1">
      <alignment vertical="center"/>
    </xf>
    <xf fontId="3" fillId="12" applyFont="1" applyFill="1" applyAlignment="1">
      <alignment vertical="center"/>
    </xf>
    <xf fontId="0" fillId="13" applyFont="1" applyFill="1" applyAlignment="1">
      <alignment vertical="center"/>
    </xf>
    <xf fontId="3" fillId="14" applyFont="1" applyFill="1" applyAlignment="1">
      <alignment vertical="center"/>
    </xf>
    <xf fontId="3" fillId="15" applyFont="1" applyFill="1" applyAlignment="1">
      <alignment vertical="center"/>
    </xf>
    <xf fontId="0" fillId="16" applyFont="1" applyFill="1" applyAlignment="1">
      <alignment vertical="center"/>
    </xf>
    <xf fontId="3" fillId="17" applyFont="1" applyFill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 xml:space="preserve">gói</t>
        </is>
      </c>
      <c r="B1" s="1" t="inlineStr">
        <is>
          <t xml:space="preserve">id</t>
        </is>
      </c>
      <c r="C1" s="1" t="inlineStr">
        <is>
          <t xml:space="preserve">số lượng</t>
        </is>
      </c>
      <c r="D1" s="1" t="inlineStr">
        <is>
          <t xml:space="preserve">dùng ngay</t>
        </is>
      </c>
    </row>
    <row r="2">
      <c r="A2" s="4" t="inlineStr">
        <is>
          <t xml:space="preserve">starter_v1</t>
        </is>
      </c>
      <c r="B2" s="4" t="inlineStr">
        <is>
          <t xml:space="preserve">xu</t>
        </is>
      </c>
      <c r="C2" s="4">
        <v>1250</v>
      </c>
      <c r="D2" s="4" t="inlineStr">
        <is>
          <t xml:space="preserve"/>
        </is>
      </c>
    </row>
    <row r="3">
      <c r="A3" s="4" t="inlineStr">
        <is>
          <t xml:space="preserve">starter_v1</t>
        </is>
      </c>
      <c r="B3" s="4" t="inlineStr">
        <is>
          <t xml:space="preserve">plakat-galaxy</t>
        </is>
      </c>
      <c r="C3" s="4">
        <v>1</v>
      </c>
      <c r="D3" s="4" t="inlineStr">
        <is>
          <t xml:space="preserve">x</t>
        </is>
      </c>
    </row>
    <row r="4">
      <c r="A4" s="4" t="inlineStr">
        <is>
          <t xml:space="preserve">starter_v1</t>
        </is>
      </c>
      <c r="B4" s="4" t="inlineStr">
        <is>
          <t xml:space="preserve">tank_square</t>
        </is>
      </c>
      <c r="C4" s="4">
        <v>1</v>
      </c>
      <c r="D4" s="4" t="inlineStr">
        <is>
          <t xml:space="preserve">x</t>
        </is>
      </c>
    </row>
    <row r="5">
      <c r="A5" s="4" t="inlineStr">
        <is>
          <t xml:space="preserve">starter_v1</t>
        </is>
      </c>
      <c r="B5" s="4" t="inlineStr">
        <is>
          <t xml:space="preserve">wall_river</t>
        </is>
      </c>
      <c r="C5" s="4">
        <v>1</v>
      </c>
      <c r="D5" s="4" t="inlineStr">
        <is>
          <t xml:space="preserve">x</t>
        </is>
      </c>
    </row>
    <row r="6">
      <c r="A6" s="4" t="inlineStr">
        <is>
          <t xml:space="preserve">starter_v1</t>
        </is>
      </c>
      <c r="B6" s="4" t="inlineStr">
        <is>
          <t xml:space="preserve">sand_river</t>
        </is>
      </c>
      <c r="C6" s="4">
        <v>1</v>
      </c>
      <c r="D6" s="4" t="inlineStr">
        <is>
          <t xml:space="preserve">x</t>
        </is>
      </c>
    </row>
    <row r="7">
      <c r="A7" s="4" t="inlineStr">
        <is>
          <t xml:space="preserve">starter_v1</t>
        </is>
      </c>
      <c r="B7" s="4" t="inlineStr">
        <is>
          <t xml:space="preserve">starter-anubias</t>
        </is>
      </c>
      <c r="C7" s="4">
        <v>2</v>
      </c>
      <c r="D7" s="4" t="inlineStr">
        <is>
          <t xml:space="preserve"/>
        </is>
      </c>
    </row>
    <row r="8">
      <c r="A8" s="4" t="inlineStr">
        <is>
          <t xml:space="preserve">starter_v1</t>
        </is>
      </c>
      <c r="B8" s="4" t="inlineStr">
        <is>
          <t xml:space="preserve">starter-stone</t>
        </is>
      </c>
      <c r="C8" s="4">
        <v>2</v>
      </c>
      <c r="D8" s="4" t="inlineStr">
        <is>
          <t xml:space="preserve"/>
        </is>
      </c>
    </row>
    <row r="9">
      <c r="A9" s="4" t="inlineStr">
        <is>
          <t xml:space="preserve">starter_v1</t>
        </is>
      </c>
      <c r="B9" s="4" t="inlineStr">
        <is>
          <t xml:space="preserve">starter-wood</t>
        </is>
      </c>
      <c r="C9" s="4">
        <v>2</v>
      </c>
      <c r="D9" s="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8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kiểu</t>
        </is>
      </c>
      <c r="G1" s="2" t="inlineStr">
        <is>
          <t xml:space="preserve">cỡ</t>
        </is>
      </c>
    </row>
    <row r="2" ht="66" customHeight="1">
      <c r="A2" s="4" t="inlineStr">
        <is>
          <t xml:space="preserve">koi-nemo</t>
        </is>
      </c>
      <c r="B2" s="3">
        <f>IMAGE("https://pub-590970a58ce5426989b3bcd2897271b4.r2.dev/sheet-images/fish/koi-nemo.png?v=1d578260")</f>
      </c>
      <c r="C2" s="4" t="inlineStr">
        <is>
          <t xml:space="preserve">Koi Nemo Betta</t>
        </is>
      </c>
      <c r="D2" s="4" t="inlineStr">
        <is>
          <t xml:space="preserve">Xanh dương, trắng, đen · Koi Nemo đuôi tròn</t>
        </is>
      </c>
      <c r="E2" s="4">
        <v>0</v>
      </c>
      <c r="F2" s="3" t="inlineStr">
        <is>
          <t xml:space="preserve">Butterfly</t>
        </is>
      </c>
      <c r="G2" s="3" t="inlineStr">
        <is>
          <t xml:space="preserve">2.4</t>
        </is>
      </c>
    </row>
    <row r="3" ht="66" customHeight="1">
      <c r="A3" s="4" t="inlineStr">
        <is>
          <t xml:space="preserve">plakat</t>
        </is>
      </c>
      <c r="B3" s="3">
        <f>IMAGE("https://pub-590970a58ce5426989b3bcd2897271b4.r2.dev/sheet-images/fish/plakat.png?v=9c2ec3d0")</f>
      </c>
      <c r="C3" s="4" t="inlineStr">
        <is>
          <t xml:space="preserve">Plakat Koi</t>
        </is>
      </c>
      <c r="D3" s="4" t="inlineStr">
        <is>
          <t xml:space="preserve">Đỏ, cam, xanh · Plakat đuôi ngắn</t>
        </is>
      </c>
      <c r="E3" s="4">
        <v>0</v>
      </c>
      <c r="F3" s="3" t="inlineStr">
        <is>
          <t xml:space="preserve">Koi</t>
        </is>
      </c>
      <c r="G3" s="3">
        <v>2</v>
      </c>
    </row>
    <row r="4" ht="66" customHeight="1">
      <c r="A4" s="4" t="inlineStr">
        <is>
          <t xml:space="preserve">plakat-galaxy</t>
        </is>
      </c>
      <c r="B4" s="3">
        <f>IMAGE("https://pub-590970a58ce5426989b3bcd2897271b4.r2.dev/sheet-images/fish/plakat-galaxy.png?v=11d4adbd")</f>
      </c>
      <c r="C4" s="4" t="inlineStr">
        <is>
          <t xml:space="preserve">Plakat Galaxy</t>
        </is>
      </c>
      <c r="D4" s="4" t="inlineStr">
        <is>
          <t xml:space="preserve">Koi Galaxy: thân trắng ngọc mảng đỏ tươi, lưng vảy đen, mang trắng viền đỏ, vây vàng nghệ</t>
        </is>
      </c>
      <c r="E4" s="4">
        <v>0</v>
      </c>
      <c r="F4" s="3" t="inlineStr">
        <is>
          <t xml:space="preserve">KoiGalaxy</t>
        </is>
      </c>
      <c r="G4" s="3">
        <v>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size</t>
        </is>
      </c>
      <c r="E1" s="1" t="inlineStr">
        <is>
          <t xml:space="preserve">bodySwimAmplitude</t>
        </is>
      </c>
      <c r="F1" s="1" t="inlineStr">
        <is>
          <t xml:space="preserve">strokeSwimAmplitude</t>
        </is>
      </c>
      <c r="G1" s="1" t="inlineStr">
        <is>
          <t xml:space="preserve">pattern</t>
        </is>
      </c>
      <c r="H1" s="1" t="inlineStr">
        <is>
          <t xml:space="preserve">seed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3">
        <v>2</v>
      </c>
      <c r="E2" s="3">
        <v>3</v>
      </c>
      <c r="F2" s="3">
        <v>8</v>
      </c>
      <c r="G2" s="3" t="inlineStr">
        <is>
          <t xml:space="preserve">Solid</t>
        </is>
      </c>
      <c r="H2" s="3">
        <v>0</v>
      </c>
    </row>
    <row r="3" ht="66" customHeight="1">
      <c r="A3" s="4" t="inlineStr">
        <is>
          <t xml:space="preserve">KoiNemoRig</t>
        </is>
      </c>
      <c r="B3" s="3">
        <f>IMAGE("https://pub-590970a58ce5426989b3bcd2897271b4.r2.dev/sheet-images/fish/koi-nemo.png?v=1d578260")</f>
      </c>
      <c r="C3" s="3" t="inlineStr">
        <is>
          <t xml:space="preserve">Koi Nemo Betta</t>
        </is>
      </c>
      <c r="D3" s="4">
        <v>2.4</v>
      </c>
      <c r="E3" s="4">
        <v>3</v>
      </c>
      <c r="F3" s="4">
        <v>8</v>
      </c>
      <c r="G3" s="4" t="inlineStr">
        <is>
          <t xml:space="preserve">Butterfly</t>
        </is>
      </c>
      <c r="H3" s="4">
        <v>0</v>
      </c>
    </row>
    <row r="4" ht="66" customHeight="1">
      <c r="A4" s="4" t="inlineStr">
        <is>
          <t xml:space="preserve">Plakat</t>
        </is>
      </c>
      <c r="B4" s="3">
        <f>IMAGE("https://pub-590970a58ce5426989b3bcd2897271b4.r2.dev/sheet-images/fish/plakat.png?v=9c2ec3d0")</f>
      </c>
      <c r="C4" s="3" t="inlineStr">
        <is>
          <t xml:space="preserve">Plakat Koi</t>
        </is>
      </c>
      <c r="D4" s="4">
        <v>2</v>
      </c>
      <c r="E4" s="4">
        <v>3</v>
      </c>
      <c r="F4" s="4">
        <v>8</v>
      </c>
      <c r="G4" s="4" t="inlineStr">
        <is>
          <t xml:space="preserve">Koi</t>
        </is>
      </c>
      <c r="H4" s="4">
        <v>3</v>
      </c>
    </row>
    <row r="5" ht="66" customHeight="1">
      <c r="A5" s="4" t="inlineStr">
        <is>
          <t xml:space="preserve">PlakatGalaxy</t>
        </is>
      </c>
      <c r="B5" s="3">
        <f>IMAGE("https://pub-590970a58ce5426989b3bcd2897271b4.r2.dev/sheet-images/fish/plakat-galaxy.png?v=11d4adbd")</f>
      </c>
      <c r="C5" s="3" t="inlineStr">
        <is>
          <t xml:space="preserve">Plakat Galaxy</t>
        </is>
      </c>
      <c r="D5" s="4">
        <v>2</v>
      </c>
      <c r="E5" s="4">
        <v>3</v>
      </c>
      <c r="F5" s="4">
        <v>8</v>
      </c>
      <c r="G5" s="4" t="inlineStr">
        <is>
          <t xml:space="preserve">KoiGalaxy</t>
        </is>
      </c>
      <c r="H5" s="4">
        <v>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primary</t>
        </is>
      </c>
      <c r="E1" s="1" t="inlineStr">
        <is>
          <t xml:space="preserve">secondary</t>
        </is>
      </c>
      <c r="F1" s="1" t="inlineStr">
        <is>
          <t xml:space="preserve">accent</t>
        </is>
      </c>
      <c r="G1" s="1" t="inlineStr">
        <is>
          <t xml:space="preserve">finEdge</t>
        </is>
      </c>
      <c r="H1" s="1" t="inlineStr">
        <is>
          <t xml:space="preserve">scaleEdgeDark</t>
        </is>
      </c>
      <c r="I1" s="1" t="inlineStr">
        <is>
          <t xml:space="preserve">scaleEdgeLight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5" t="inlineStr">
        <is>
          <t xml:space="preserve">#1F4FD1</t>
        </is>
      </c>
      <c r="E2" s="6" t="inlineStr">
        <is>
          <t xml:space="preserve">#F2F2F2</t>
        </is>
      </c>
      <c r="F2" s="7" t="inlineStr">
        <is>
          <t xml:space="preserve">#171717</t>
        </is>
      </c>
      <c r="G2" s="8" t="inlineStr">
        <is>
          <t xml:space="preserve">#FFD133</t>
        </is>
      </c>
      <c r="H2" s="9" t="inlineStr">
        <is>
          <t xml:space="preserve">#9E6B38</t>
        </is>
      </c>
      <c r="I2" s="10" t="inlineStr">
        <is>
          <t xml:space="preserve">#80808C</t>
        </is>
      </c>
    </row>
    <row r="3" ht="66" customHeight="1">
      <c r="A3" s="4" t="inlineStr">
        <is>
          <t xml:space="preserve">KoiNemoRig</t>
        </is>
      </c>
      <c r="B3" s="3">
        <f>IMAGE("https://pub-590970a58ce5426989b3bcd2897271b4.r2.dev/sheet-images/fish/koi-nemo.png?v=1d578260")</f>
      </c>
      <c r="C3" s="3" t="inlineStr">
        <is>
          <t xml:space="preserve">Koi Nemo Betta</t>
        </is>
      </c>
      <c r="D3" s="11" t="inlineStr">
        <is>
          <t xml:space="preserve">#1A40D9</t>
        </is>
      </c>
      <c r="E3" s="6" t="inlineStr">
        <is>
          <t xml:space="preserve">#F2F2F2</t>
        </is>
      </c>
      <c r="F3" s="7" t="inlineStr">
        <is>
          <t xml:space="preserve">#171717</t>
        </is>
      </c>
      <c r="G3" s="8" t="inlineStr">
        <is>
          <t xml:space="preserve">#FFD133</t>
        </is>
      </c>
      <c r="H3" s="4" t="inlineStr">
        <is>
          <t xml:space="preserve"/>
        </is>
      </c>
      <c r="I3" s="4" t="inlineStr">
        <is>
          <t xml:space="preserve"/>
        </is>
      </c>
    </row>
    <row r="4" ht="66" customHeight="1">
      <c r="A4" s="4" t="inlineStr">
        <is>
          <t xml:space="preserve">Plakat</t>
        </is>
      </c>
      <c r="B4" s="3">
        <f>IMAGE("https://pub-590970a58ce5426989b3bcd2897271b4.r2.dev/sheet-images/fish/plakat.png?v=9c2ec3d0")</f>
      </c>
      <c r="C4" s="3" t="inlineStr">
        <is>
          <t xml:space="preserve">Plakat Koi</t>
        </is>
      </c>
      <c r="D4" s="12" t="inlineStr">
        <is>
          <t xml:space="preserve">#FF991F</t>
        </is>
      </c>
      <c r="E4" s="13" t="inlineStr">
        <is>
          <t xml:space="preserve">#D1140F</t>
        </is>
      </c>
      <c r="F4" s="14" t="inlineStr">
        <is>
          <t xml:space="preserve">#0D2699</t>
        </is>
      </c>
      <c r="G4" s="8" t="inlineStr">
        <is>
          <t xml:space="preserve">#FFD133</t>
        </is>
      </c>
      <c r="H4" s="4" t="inlineStr">
        <is>
          <t xml:space="preserve"/>
        </is>
      </c>
      <c r="I4" s="4" t="inlineStr">
        <is>
          <t xml:space="preserve"/>
        </is>
      </c>
    </row>
    <row r="5" ht="66" customHeight="1">
      <c r="A5" s="4" t="inlineStr">
        <is>
          <t xml:space="preserve">PlakatGalaxy</t>
        </is>
      </c>
      <c r="B5" s="3">
        <f>IMAGE("https://pub-590970a58ce5426989b3bcd2897271b4.r2.dev/sheet-images/fish/plakat-galaxy.png?v=11d4adbd")</f>
      </c>
      <c r="C5" s="3" t="inlineStr">
        <is>
          <t xml:space="preserve">Plakat Galaxy</t>
        </is>
      </c>
      <c r="D5" s="15" t="inlineStr">
        <is>
          <t xml:space="preserve">#EBEBF0</t>
        </is>
      </c>
      <c r="E5" s="16" t="inlineStr">
        <is>
          <t xml:space="preserve">#38393D</t>
        </is>
      </c>
      <c r="F5" s="17" t="inlineStr">
        <is>
          <t xml:space="preserve">#FF0808</t>
        </is>
      </c>
      <c r="G5" s="18" t="inlineStr">
        <is>
          <t xml:space="preserve">#FFA80A</t>
        </is>
      </c>
      <c r="H5" s="9" t="inlineStr">
        <is>
          <t xml:space="preserve">#9E6B38</t>
        </is>
      </c>
      <c r="I5" s="19" t="inlineStr">
        <is>
          <t xml:space="preserve">#4C4C54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iridescence</t>
        </is>
      </c>
      <c r="E1" s="1" t="inlineStr">
        <is>
          <t xml:space="preserve">textureDetail</t>
        </is>
      </c>
      <c r="F1" s="1" t="inlineStr">
        <is>
          <t xml:space="preserve">silverSheen</t>
        </is>
      </c>
      <c r="G1" s="1" t="inlineStr">
        <is>
          <t xml:space="preserve">gloss</t>
        </is>
      </c>
      <c r="H1" s="1" t="inlineStr">
        <is>
          <t xml:space="preserve">blackGloss</t>
        </is>
      </c>
      <c r="I1" s="1" t="inlineStr">
        <is>
          <t xml:space="preserve">whiteScales</t>
        </is>
      </c>
      <c r="J1" s="1" t="inlineStr">
        <is>
          <t xml:space="preserve">pigmentDepth</t>
        </is>
      </c>
      <c r="K1" s="1" t="inlineStr">
        <is>
          <t xml:space="preserve">scaleRelief</t>
        </is>
      </c>
      <c r="L1" s="1" t="inlineStr">
        <is>
          <t xml:space="preserve">scaleEdge</t>
        </is>
      </c>
      <c r="M1" s="1" t="inlineStr">
        <is>
          <t xml:space="preserve">scaleEdgeWidth</t>
        </is>
      </c>
      <c r="N1" s="1" t="inlineStr">
        <is>
          <t xml:space="preserve">vibrance</t>
        </is>
      </c>
      <c r="O1" s="1" t="inlineStr">
        <is>
          <t xml:space="preserve">brightness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3">
        <v>0.4</v>
      </c>
      <c r="E2" s="3">
        <v>0.6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0.5</v>
      </c>
      <c r="N2" s="3">
        <v>1</v>
      </c>
      <c r="O2" s="3">
        <v>1</v>
      </c>
    </row>
    <row r="3" ht="66" customHeight="1">
      <c r="A3" s="4" t="inlineStr">
        <is>
          <t xml:space="preserve">KoiNemoRig</t>
        </is>
      </c>
      <c r="B3" s="3">
        <f>IMAGE("https://pub-590970a58ce5426989b3bcd2897271b4.r2.dev/sheet-images/fish/koi-nemo.png?v=1d578260")</f>
      </c>
      <c r="C3" s="3" t="inlineStr">
        <is>
          <t xml:space="preserve">Koi Nemo Betta</t>
        </is>
      </c>
      <c r="D3" s="4">
        <v>0.4</v>
      </c>
      <c r="E3" s="4">
        <v>0.6</v>
      </c>
      <c r="F3" s="4">
        <v>1</v>
      </c>
      <c r="G3" s="4">
        <v>1</v>
      </c>
      <c r="H3" s="4">
        <v>0</v>
      </c>
      <c r="I3" s="4">
        <v>0</v>
      </c>
      <c r="J3" s="4">
        <v>0</v>
      </c>
      <c r="K3" s="4">
        <v>0.55</v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6" customHeight="1">
      <c r="A4" s="4" t="inlineStr">
        <is>
          <t xml:space="preserve">Plakat</t>
        </is>
      </c>
      <c r="B4" s="3">
        <f>IMAGE("https://pub-590970a58ce5426989b3bcd2897271b4.r2.dev/sheet-images/fish/plakat.png?v=9c2ec3d0")</f>
      </c>
      <c r="C4" s="3" t="inlineStr">
        <is>
          <t xml:space="preserve">Plakat Koi</t>
        </is>
      </c>
      <c r="D4" s="4">
        <v>0.4</v>
      </c>
      <c r="E4" s="4">
        <v>0.6</v>
      </c>
      <c r="F4" s="4">
        <v>1</v>
      </c>
      <c r="G4" s="4">
        <v>1</v>
      </c>
      <c r="H4" s="4">
        <v>0</v>
      </c>
      <c r="I4" s="4">
        <v>0</v>
      </c>
      <c r="J4" s="4">
        <v>0</v>
      </c>
      <c r="K4" s="4">
        <v>0.55</v>
      </c>
      <c r="L4" s="4" t="inlineStr">
        <is>
          <t xml:space="preserve"/>
        </is>
      </c>
      <c r="M4" s="4" t="inlineStr">
        <is>
          <t xml:space="preserve"/>
        </is>
      </c>
      <c r="N4" s="4" t="inlineStr">
        <is>
          <t xml:space="preserve"/>
        </is>
      </c>
      <c r="O4" s="4" t="inlineStr">
        <is>
          <t xml:space="preserve"/>
        </is>
      </c>
    </row>
    <row r="5" ht="66" customHeight="1">
      <c r="A5" s="4" t="inlineStr">
        <is>
          <t xml:space="preserve">PlakatGalaxy</t>
        </is>
      </c>
      <c r="B5" s="3">
        <f>IMAGE("https://pub-590970a58ce5426989b3bcd2897271b4.r2.dev/sheet-images/fish/plakat-galaxy.png?v=11d4adbd")</f>
      </c>
      <c r="C5" s="3" t="inlineStr">
        <is>
          <t xml:space="preserve">Plakat Galaxy</t>
        </is>
      </c>
      <c r="D5" s="4">
        <v>0.25</v>
      </c>
      <c r="E5" s="4">
        <v>0.6</v>
      </c>
      <c r="F5" s="4">
        <v>0.4</v>
      </c>
      <c r="G5" s="4">
        <v>0.5</v>
      </c>
      <c r="H5" s="4">
        <v>0.15</v>
      </c>
      <c r="I5" s="4">
        <v>0.04</v>
      </c>
      <c r="J5" s="4">
        <v>0.35</v>
      </c>
      <c r="K5" s="4">
        <v>0</v>
      </c>
      <c r="L5" s="4">
        <v>1</v>
      </c>
      <c r="M5" s="4">
        <v>0.35</v>
      </c>
      <c r="N5" s="4">
        <v>1.3</v>
      </c>
      <c r="O5" s="4">
        <v>1.12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s="1" t="inlineStr">
        <is>
          <t xml:space="preserve">cá</t>
        </is>
      </c>
      <c r="B1" s="2" t="inlineStr">
        <is>
          <t xml:space="preserve">ảnh</t>
        </is>
      </c>
      <c r="C1" s="2" t="inlineStr">
        <is>
          <t xml:space="preserve">tên</t>
        </is>
      </c>
      <c r="D1" s="1" t="inlineStr">
        <is>
          <t xml:space="preserve">finEdgeClear</t>
        </is>
      </c>
      <c r="E1" s="1" t="inlineStr">
        <is>
          <t xml:space="preserve">finRelief</t>
        </is>
      </c>
      <c r="F1" s="1" t="inlineStr">
        <is>
          <t xml:space="preserve">finTranslucency</t>
        </is>
      </c>
      <c r="G1" s="1" t="inlineStr">
        <is>
          <t xml:space="preserve">finBlack</t>
        </is>
      </c>
      <c r="H1" s="1" t="inlineStr">
        <is>
          <t xml:space="preserve">finBrightness</t>
        </is>
      </c>
      <c r="I1" s="1" t="inlineStr">
        <is>
          <t xml:space="preserve">finRimAlpha</t>
        </is>
      </c>
      <c r="J1" s="1" t="inlineStr">
        <is>
          <t xml:space="preserve">finRim</t>
        </is>
      </c>
      <c r="K1" s="1" t="inlineStr">
        <is>
          <t xml:space="preserve">caudalRim</t>
        </is>
      </c>
      <c r="L1" s="1" t="inlineStr">
        <is>
          <t xml:space="preserve">caudalStart</t>
        </is>
      </c>
    </row>
    <row r="2" ht="66" customHeight="1">
      <c r="A2" s="3" t="inlineStr">
        <is>
          <t xml:space="preserve">(mặc định)</t>
        </is>
      </c>
      <c r="B2" s="3" t="inlineStr">
        <is>
          <t xml:space="preserve"/>
        </is>
      </c>
      <c r="C2" s="3" t="inlineStr">
        <is>
          <t xml:space="preserve"/>
        </is>
      </c>
      <c r="D2" s="3">
        <v>0</v>
      </c>
      <c r="E2" s="3">
        <v>1</v>
      </c>
      <c r="F2" s="3">
        <v>0.8</v>
      </c>
      <c r="G2" s="3">
        <v>0</v>
      </c>
      <c r="H2" s="3">
        <v>1</v>
      </c>
      <c r="I2" s="3">
        <v>1</v>
      </c>
      <c r="J2" s="3" t="inlineStr">
        <is>
          <t xml:space="preserve">0.9, 1</t>
        </is>
      </c>
      <c r="K2" s="3" t="inlineStr">
        <is>
          <t xml:space="preserve">0.62, 0.8</t>
        </is>
      </c>
      <c r="L2" s="3">
        <v>0.55</v>
      </c>
    </row>
    <row r="3" ht="66" customHeight="1">
      <c r="A3" s="4" t="inlineStr">
        <is>
          <t xml:space="preserve">KoiNemoRig</t>
        </is>
      </c>
      <c r="B3" s="3">
        <f>IMAGE("https://pub-590970a58ce5426989b3bcd2897271b4.r2.dev/sheet-images/fish/koi-nemo.png?v=1d578260")</f>
      </c>
      <c r="C3" s="3" t="inlineStr">
        <is>
          <t xml:space="preserve">Koi Nemo Betta</t>
        </is>
      </c>
      <c r="D3" s="4">
        <v>1</v>
      </c>
      <c r="E3" s="4">
        <v>0.5</v>
      </c>
      <c r="F3" s="4">
        <v>1.2</v>
      </c>
      <c r="G3" s="4" t="inlineStr">
        <is>
          <t xml:space="preserve"/>
        </is>
      </c>
      <c r="H3" s="4" t="inlineStr">
        <is>
          <t xml:space="preserve"/>
        </is>
      </c>
      <c r="I3" s="4">
        <v>0.6</v>
      </c>
      <c r="J3" s="4" t="inlineStr">
        <is>
          <t xml:space="preserve">0.55, 1</t>
        </is>
      </c>
      <c r="K3" s="4" t="inlineStr">
        <is>
          <t xml:space="preserve">0.3, 0.8</t>
        </is>
      </c>
      <c r="L3" s="4">
        <v>0.55</v>
      </c>
    </row>
    <row r="4" ht="66" customHeight="1">
      <c r="A4" s="4" t="inlineStr">
        <is>
          <t xml:space="preserve">Plakat</t>
        </is>
      </c>
      <c r="B4" s="3">
        <f>IMAGE("https://pub-590970a58ce5426989b3bcd2897271b4.r2.dev/sheet-images/fish/plakat.png?v=9c2ec3d0")</f>
      </c>
      <c r="C4" s="3" t="inlineStr">
        <is>
          <t xml:space="preserve">Plakat Koi</t>
        </is>
      </c>
      <c r="D4" s="4">
        <v>1</v>
      </c>
      <c r="E4" s="4">
        <v>0.5</v>
      </c>
      <c r="F4" s="4">
        <v>1.2</v>
      </c>
      <c r="G4" s="4" t="inlineStr">
        <is>
          <t xml:space="preserve"/>
        </is>
      </c>
      <c r="H4" s="4" t="inlineStr">
        <is>
          <t xml:space="preserve"/>
        </is>
      </c>
      <c r="I4" s="4">
        <v>0.6</v>
      </c>
      <c r="J4" s="4" t="inlineStr">
        <is>
          <t xml:space="preserve">0.55, 1</t>
        </is>
      </c>
      <c r="K4" s="4" t="inlineStr">
        <is>
          <t xml:space="preserve">0.3, 0.8</t>
        </is>
      </c>
      <c r="L4" s="4">
        <v>0.55</v>
      </c>
    </row>
    <row r="5" ht="66" customHeight="1">
      <c r="A5" s="4" t="inlineStr">
        <is>
          <t xml:space="preserve">PlakatGalaxy</t>
        </is>
      </c>
      <c r="B5" s="3">
        <f>IMAGE("https://pub-590970a58ce5426989b3bcd2897271b4.r2.dev/sheet-images/fish/plakat-galaxy.png?v=11d4adbd")</f>
      </c>
      <c r="C5" s="3" t="inlineStr">
        <is>
          <t xml:space="preserve">Plakat Galaxy</t>
        </is>
      </c>
      <c r="D5" s="4">
        <v>1</v>
      </c>
      <c r="E5" s="4">
        <v>0.5</v>
      </c>
      <c r="F5" s="4">
        <v>1.2</v>
      </c>
      <c r="G5" s="4">
        <v>1</v>
      </c>
      <c r="H5" s="4">
        <v>1.8</v>
      </c>
      <c r="I5" s="4">
        <v>0.6</v>
      </c>
      <c r="J5" s="4" t="inlineStr">
        <is>
          <t xml:space="preserve">0.55, 1</t>
        </is>
      </c>
      <c r="K5" s="4" t="inlineStr">
        <is>
          <t xml:space="preserve">0.3, 0.8</t>
        </is>
      </c>
      <c r="L5" s="4">
        <v>0.72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wood-short</t>
        </is>
      </c>
      <c r="B2" s="3">
        <f>IMAGE("https://pub-590970a58ce5426989b3bcd2897271b4.r2.dev/sheet-images/decor/wood-short.png?v=452443f5")</f>
      </c>
      <c r="C2" s="4" t="inlineStr">
        <is>
          <t xml:space="preserve">Lũa khúc ngắn</t>
        </is>
      </c>
      <c r="D2" s="4" t="inlineStr">
        <is>
          <t xml:space="preserve">Lũa tự nhiên · Có 3 vị trí gắn ráy, dương xỉ hoặc rêu</t>
        </is>
      </c>
      <c r="E2" s="4">
        <v>120</v>
      </c>
      <c r="F2" s="3" t="inlineStr">
        <is>
          <t xml:space="preserve">0.31 × 0.23 × 0.10</t>
        </is>
      </c>
      <c r="G2" s="3">
        <v>1</v>
      </c>
    </row>
    <row r="3" ht="66" customHeight="1">
      <c r="A3" s="4" t="inlineStr">
        <is>
          <t xml:space="preserve">wood-long</t>
        </is>
      </c>
      <c r="B3" s="3">
        <f>IMAGE("https://pub-590970a58ce5426989b3bcd2897271b4.r2.dev/sheet-images/decor/wood-long.png?v=301f005f")</f>
      </c>
      <c r="C3" s="4" t="inlineStr">
        <is>
          <t xml:space="preserve">Lũa thân dài</t>
        </is>
      </c>
      <c r="D3" s="4" t="inlineStr">
        <is>
          <t xml:space="preserve">Lũa tự nhiên · Có 3 vị trí gắn ráy, dương xỉ hoặc rêu</t>
        </is>
      </c>
      <c r="E3" s="4">
        <v>180</v>
      </c>
      <c r="F3" s="3" t="inlineStr">
        <is>
          <t xml:space="preserve">0.56 × 0.23 × 0.11</t>
        </is>
      </c>
      <c r="G3" s="3">
        <v>1</v>
      </c>
    </row>
    <row r="4" ht="66" customHeight="1">
      <c r="A4" s="4" t="inlineStr">
        <is>
          <t xml:space="preserve">wood-arch</t>
        </is>
      </c>
      <c r="B4" s="3">
        <f>IMAGE("https://pub-590970a58ce5426989b3bcd2897271b4.r2.dev/sheet-images/decor/wood-arch.png?v=d09d80c4")</f>
      </c>
      <c r="C4" s="4" t="inlineStr">
        <is>
          <t xml:space="preserve">Lũa cong</t>
        </is>
      </c>
      <c r="D4" s="4" t="inlineStr">
        <is>
          <t xml:space="preserve">Lũa tự nhiên · Có 3 vị trí gắn ráy, dương xỉ hoặc rêu</t>
        </is>
      </c>
      <c r="E4" s="4">
        <v>200</v>
      </c>
      <c r="F4" s="3" t="inlineStr">
        <is>
          <t xml:space="preserve">0.45 × 0.35 × 0.09</t>
        </is>
      </c>
      <c r="G4" s="3">
        <v>1</v>
      </c>
    </row>
    <row r="5" ht="66" customHeight="1">
      <c r="A5" s="4" t="inlineStr">
        <is>
          <t xml:space="preserve">wood-branches</t>
        </is>
      </c>
      <c r="B5" s="3">
        <f>IMAGE("https://pub-590970a58ce5426989b3bcd2897271b4.r2.dev/sheet-images/decor/wood-branches.png?v=6f47e2e2")</f>
      </c>
      <c r="C5" s="4" t="inlineStr">
        <is>
          <t xml:space="preserve">Lũa phân nhánh</t>
        </is>
      </c>
      <c r="D5" s="4" t="inlineStr">
        <is>
          <t xml:space="preserve">Lũa tự nhiên · Có 3 vị trí gắn ráy, dương xỉ hoặc rêu</t>
        </is>
      </c>
      <c r="E5" s="4">
        <v>230</v>
      </c>
      <c r="F5" s="3" t="inlineStr">
        <is>
          <t xml:space="preserve">0.36 × 0.45 × 0.27</t>
        </is>
      </c>
      <c r="G5" s="3">
        <v>1</v>
      </c>
    </row>
    <row r="6" ht="66" customHeight="1">
      <c r="A6" s="4" t="inlineStr">
        <is>
          <t xml:space="preserve">wood-roots</t>
        </is>
      </c>
      <c r="B6" s="3">
        <f>IMAGE("https://pub-590970a58ce5426989b3bcd2897271b4.r2.dev/sheet-images/decor/wood-roots.png?v=a1fc8381")</f>
      </c>
      <c r="C6" s="4" t="inlineStr">
        <is>
          <t xml:space="preserve">Lũa chùm rễ</t>
        </is>
      </c>
      <c r="D6" s="4" t="inlineStr">
        <is>
          <t xml:space="preserve">Lũa tự nhiên · Có 3 vị trí gắn ráy, dương xỉ hoặc rêu</t>
        </is>
      </c>
      <c r="E6" s="4">
        <v>250</v>
      </c>
      <c r="F6" s="3" t="inlineStr">
        <is>
          <t xml:space="preserve">0.36 × 0.45 × 0.30</t>
        </is>
      </c>
      <c r="G6" s="3">
        <v>1</v>
      </c>
    </row>
    <row r="7" ht="66" customHeight="1">
      <c r="A7" s="4" t="inlineStr">
        <is>
          <t xml:space="preserve">wood-stump</t>
        </is>
      </c>
      <c r="B7" s="3">
        <f>IMAGE("https://pub-590970a58ce5426989b3bcd2897271b4.r2.dev/sheet-images/decor/wood-stump.png?v=ba1175c2")</f>
      </c>
      <c r="C7" s="4" t="inlineStr">
        <is>
          <t xml:space="preserve">Lũa gốc cây</t>
        </is>
      </c>
      <c r="D7" s="4" t="inlineStr">
        <is>
          <t xml:space="preserve">Lũa tự nhiên · Có 3 vị trí gắn ráy, dương xỉ hoặc rêu</t>
        </is>
      </c>
      <c r="E7" s="4">
        <v>220</v>
      </c>
      <c r="F7" s="3" t="inlineStr">
        <is>
          <t xml:space="preserve">0.36 × 0.34 × 0.27</t>
        </is>
      </c>
      <c r="G7" s="3">
        <v>1</v>
      </c>
    </row>
    <row r="8" ht="66" customHeight="1">
      <c r="A8" s="4" t="inlineStr">
        <is>
          <t xml:space="preserve">wood-linh-sam</t>
        </is>
      </c>
      <c r="B8" s="3">
        <f>IMAGE("https://pub-590970a58ce5426989b3bcd2897271b4.r2.dev/sheet-images/decor/wood-linh-sam.png?v=bcb8faa2")</f>
      </c>
      <c r="C8" s="4" t="inlineStr">
        <is>
          <t xml:space="preserve">Lũa Linh Sam</t>
        </is>
      </c>
      <c r="D8" s="4" t="inlineStr">
        <is>
          <t xml:space="preserve">Gỗ cứng nâu đen, vân xoắn, chìm ngay · Có 3 vị trí gắn cây hoặc rêu</t>
        </is>
      </c>
      <c r="E8" s="4">
        <v>220</v>
      </c>
      <c r="F8" s="3" t="inlineStr">
        <is>
          <t xml:space="preserve">0.53 × 0.50 × 0.25</t>
        </is>
      </c>
      <c r="G8" s="3">
        <v>1</v>
      </c>
    </row>
    <row r="9" ht="66" customHeight="1">
      <c r="A9" s="4" t="inlineStr">
        <is>
          <t xml:space="preserve">wood-hai-son-tung</t>
        </is>
      </c>
      <c r="B9" s="3">
        <f>IMAGE("https://pub-590970a58ce5426989b3bcd2897271b4.r2.dev/sheet-images/decor/wood-hai-son-tung.png?v=155b614c")</f>
      </c>
      <c r="C9" s="4" t="inlineStr">
        <is>
          <t xml:space="preserve">Lũa Hải Sơn Tùng</t>
        </is>
      </c>
      <c r="D9" s="4" t="inlineStr">
        <is>
          <t xml:space="preserve">Nhiều nhánh nhỏ khẳng khiu, hợp làm tán cây hoặc rừng cây · Có 3 vị trí gắn</t>
        </is>
      </c>
      <c r="E9" s="4">
        <v>240</v>
      </c>
      <c r="F9" s="3" t="inlineStr">
        <is>
          <t xml:space="preserve">0.28 × 0.69 × 0.26</t>
        </is>
      </c>
      <c r="G9" s="3">
        <v>1</v>
      </c>
    </row>
    <row r="10" ht="66" customHeight="1">
      <c r="A10" s="4" t="inlineStr">
        <is>
          <t xml:space="preserve">wood-do-quyen</t>
        </is>
      </c>
      <c r="B10" s="3">
        <f>IMAGE("https://pub-590970a58ce5426989b3bcd2897271b4.r2.dev/sheet-images/decor/wood-do-quyen.png?v=63db7473")</f>
      </c>
      <c r="C10" s="4" t="inlineStr">
        <is>
          <t xml:space="preserve">Lũa Đỗ Quyên</t>
        </is>
      </c>
      <c r="D10" s="4" t="inlineStr">
        <is>
          <t xml:space="preserve">Thân mịn uốn lượn, vàng sáng chuyển nâu đỏ · Hợp bố cục chữ V · Có 3 vị trí gắn</t>
        </is>
      </c>
      <c r="E10" s="4">
        <v>230</v>
      </c>
      <c r="F10" s="3" t="inlineStr">
        <is>
          <t xml:space="preserve">0.93 × 0.50 × 0.57</t>
        </is>
      </c>
      <c r="G10" s="3">
        <v>1</v>
      </c>
    </row>
    <row r="11" ht="66" customHeight="1">
      <c r="A11" s="4" t="inlineStr">
        <is>
          <t xml:space="preserve">wood-spider</t>
        </is>
      </c>
      <c r="B11" s="3">
        <f>IMAGE("https://pub-590970a58ce5426989b3bcd2897271b4.r2.dev/sheet-images/decor/wood-spider.png?v=d4963d3d")</f>
      </c>
      <c r="C11" s="4" t="inlineStr">
        <is>
          <t xml:space="preserve">Lũa Spider</t>
        </is>
      </c>
      <c r="D11" s="4" t="inlineStr">
        <is>
          <t xml:space="preserve">Chùm rễ tua tủa tỏa từ một gốc nhỏ · Có 3 vị trí gắn cây hoặc rêu</t>
        </is>
      </c>
      <c r="E11" s="4">
        <v>190</v>
      </c>
      <c r="F11" s="3" t="inlineStr">
        <is>
          <t xml:space="preserve">0.56 × 0.31 × 0.54</t>
        </is>
      </c>
      <c r="G11" s="3">
        <v>1</v>
      </c>
    </row>
    <row r="12" ht="66" customHeight="1">
      <c r="A12" s="4" t="inlineStr">
        <is>
          <t xml:space="preserve">wood-san-da</t>
        </is>
      </c>
      <c r="B12" s="3">
        <f>IMAGE("https://pub-590970a58ce5426989b3bcd2897271b4.r2.dev/sheet-images/decor/wood-san-da.png?v=4076d2e4")</f>
      </c>
      <c r="C12" s="4" t="inlineStr">
        <is>
          <t xml:space="preserve">Lũa Săn Đá</t>
        </is>
      </c>
      <c r="D12" s="4" t="inlineStr">
        <is>
          <t xml:space="preserve">Gỗ nặng, gân guốc nứt nẻ như đá, hợp phối cùng đá · Có 3 vị trí gắn</t>
        </is>
      </c>
      <c r="E12" s="4">
        <v>250</v>
      </c>
      <c r="F12" s="3" t="inlineStr">
        <is>
          <t xml:space="preserve">0.43 × 0.55 × 0.39</t>
        </is>
      </c>
      <c r="G12" s="3">
        <v>1</v>
      </c>
    </row>
    <row r="13" ht="66" customHeight="1">
      <c r="A13" s="4" t="inlineStr">
        <is>
          <t xml:space="preserve">wood-mopani</t>
        </is>
      </c>
      <c r="B13" s="3">
        <f>IMAGE("https://pub-590970a58ce5426989b3bcd2897271b4.r2.dev/sheet-images/decor/wood-mopani.png?v=fe261d46")</f>
      </c>
      <c r="C13" s="4" t="inlineStr">
        <is>
          <t xml:space="preserve">Lũa Mopani</t>
        </is>
      </c>
      <c r="D13" s="4" t="inlineStr">
        <is>
          <t xml:space="preserve">Khối gỗ dày hai màu sáng tối, chìm ngay · Có 3 vị trí gắn cây hoặc rêu</t>
        </is>
      </c>
      <c r="E13" s="4">
        <v>260</v>
      </c>
      <c r="F13" s="3" t="inlineStr">
        <is>
          <t xml:space="preserve">0.30 × 0.30 × 0.20</t>
        </is>
      </c>
      <c r="G13" s="3">
        <v>1</v>
      </c>
    </row>
    <row r="14" ht="66" customHeight="1">
      <c r="A14" s="4" t="inlineStr">
        <is>
          <t xml:space="preserve">wood-tra-gung</t>
        </is>
      </c>
      <c r="B14" s="3">
        <f>IMAGE("https://pub-590970a58ce5426989b3bcd2897271b4.r2.dev/sheet-images/decor/wood-tra-gung.png?v=13fd1786")</f>
      </c>
      <c r="C14" s="4" t="inlineStr">
        <is>
          <t xml:space="preserve">Lũa Trà Gừng</t>
        </is>
      </c>
      <c r="D14" s="4" t="inlineStr">
        <is>
          <t xml:space="preserve">Nhánh nhỏ đan chằng chịt, gọn cho hồ mini · Có 3 vị trí gắn</t>
        </is>
      </c>
      <c r="E14" s="4">
        <v>120</v>
      </c>
      <c r="F14" s="3" t="inlineStr">
        <is>
          <t xml:space="preserve">0.22 × 0.26 × 0.11</t>
        </is>
      </c>
      <c r="G14" s="3">
        <v>1</v>
      </c>
    </row>
    <row r="15" ht="66" customHeight="1">
      <c r="A15" s="4" t="inlineStr">
        <is>
          <t xml:space="preserve">wood-bonsai</t>
        </is>
      </c>
      <c r="B15" s="3">
        <f>IMAGE("https://pub-590970a58ce5426989b3bcd2897271b4.r2.dev/sheet-images/decor/wood-bonsai.png?v=b1f373e5")</f>
      </c>
      <c r="C15" s="4" t="inlineStr">
        <is>
          <t xml:space="preserve">Lũa Bonsai</t>
        </is>
      </c>
      <c r="D15" s="4" t="inlineStr">
        <is>
          <t xml:space="preserve">Dáng cổ thụ thu nhỏ: thân uốn chữ S, tầng cành xòe ngang · Có 3 vị trí gắn</t>
        </is>
      </c>
      <c r="E15" s="4">
        <v>320</v>
      </c>
      <c r="F15" s="3" t="inlineStr">
        <is>
          <t xml:space="preserve">0.26 × 0.57 × 0.35</t>
        </is>
      </c>
      <c r="G15" s="3">
        <v>1</v>
      </c>
    </row>
    <row r="16" ht="66" customHeight="1">
      <c r="A16" s="4" t="inlineStr">
        <is>
          <t xml:space="preserve">starter-wood</t>
        </is>
      </c>
      <c r="B16" s="3">
        <f>IMAGE("https://pub-590970a58ce5426989b3bcd2897271b4.r2.dev/sheet-images/decor/starter-wood.png?v=d7dc4fcb")</f>
      </c>
      <c r="C16" s="4" t="inlineStr">
        <is>
          <t xml:space="preserve">Lũa nhánh cổ thụ</t>
        </is>
      </c>
      <c r="D16" s="4" t="inlineStr">
        <is>
          <t xml:space="preserve">Lũa phân nhánh cao · Gắn cây hoặc rêu tại 3 vị trí</t>
        </is>
      </c>
      <c r="E16" s="4">
        <v>200</v>
      </c>
      <c r="F16" s="3" t="inlineStr">
        <is>
          <t xml:space="preserve">0.42 × 0.68 × 0.23</t>
        </is>
      </c>
      <c r="G16" s="3">
        <v>1</v>
      </c>
    </row>
    <row r="17" ht="66" customHeight="1">
      <c r="A17" s="4" t="inlineStr">
        <is>
          <t xml:space="preserve">wood-linh-sam-m</t>
        </is>
      </c>
      <c r="B17" s="3">
        <f>IMAGE("https://pub-590970a58ce5426989b3bcd2897271b4.r2.dev/sheet-images/decor/wood-linh-sam-m.png?v=4fc56be2")</f>
      </c>
      <c r="C17" s="4" t="inlineStr">
        <is>
          <t xml:space="preserve">Lũa Linh Sam · Vừa</t>
        </is>
      </c>
      <c r="D17" s="4" t="inlineStr">
        <is>
          <t xml:space="preserve">Cỡ vừa của Lũa Linh Sam · Gắn cây hoặc rêu lên thân, ngả được bằng nút Nghiêng · 2 điểm</t>
        </is>
      </c>
      <c r="E17" s="4">
        <v>440</v>
      </c>
      <c r="F17" s="3" t="inlineStr">
        <is>
          <t xml:space="preserve">0.95 × 0.90 × 0.45</t>
        </is>
      </c>
      <c r="G17" s="3">
        <v>2</v>
      </c>
    </row>
    <row r="18" ht="66" customHeight="1">
      <c r="A18" s="4" t="inlineStr">
        <is>
          <t xml:space="preserve">wood-linh-sam-l</t>
        </is>
      </c>
      <c r="B18" s="3">
        <f>IMAGE("https://pub-590970a58ce5426989b3bcd2897271b4.r2.dev/sheet-images/decor/wood-linh-sam-l.png?v=f1401a84")</f>
      </c>
      <c r="C18" s="4" t="inlineStr">
        <is>
          <t xml:space="preserve">Lũa Linh Sam · Lớn</t>
        </is>
      </c>
      <c r="D18" s="4" t="inlineStr">
        <is>
          <t xml:space="preserve">Cỡ lớn của Lũa Linh Sam · Gắn cây hoặc rêu lên thân, ngả được bằng nút Nghiêng · 3 điểm</t>
        </is>
      </c>
      <c r="E18" s="4">
        <v>770</v>
      </c>
      <c r="F18" s="3" t="inlineStr">
        <is>
          <t xml:space="preserve">1.20 × 1.14 × 0.58</t>
        </is>
      </c>
      <c r="G18" s="3">
        <v>3</v>
      </c>
    </row>
    <row r="19" ht="66" customHeight="1">
      <c r="A19" s="4" t="inlineStr">
        <is>
          <t xml:space="preserve">wood-hai-son-tung-m</t>
        </is>
      </c>
      <c r="B19" s="3">
        <f>IMAGE("https://pub-590970a58ce5426989b3bcd2897271b4.r2.dev/sheet-images/decor/wood-hai-son-tung-m.png?v=dd1c0119")</f>
      </c>
      <c r="C19" s="4" t="inlineStr">
        <is>
          <t xml:space="preserve">Lũa Hải Sơn Tùng · Vừa</t>
        </is>
      </c>
      <c r="D19" s="4" t="inlineStr">
        <is>
          <t xml:space="preserve">Cỡ vừa của Lũa Hải Sơn Tùng · Gắn cây hoặc rêu lên thân, ngả được bằng nút Nghiêng · 2 điểm</t>
        </is>
      </c>
      <c r="E19" s="4">
        <v>480</v>
      </c>
      <c r="F19" s="3" t="inlineStr">
        <is>
          <t xml:space="preserve">0.51 × 1.24 × 0.47</t>
        </is>
      </c>
      <c r="G19" s="3">
        <v>2</v>
      </c>
    </row>
    <row r="20" ht="66" customHeight="1">
      <c r="A20" s="4" t="inlineStr">
        <is>
          <t xml:space="preserve">wood-hai-son-tung-l</t>
        </is>
      </c>
      <c r="B20" s="3">
        <f>IMAGE("https://pub-590970a58ce5426989b3bcd2897271b4.r2.dev/sheet-images/decor/wood-hai-son-tung-l.png?v=b703b3ae")</f>
      </c>
      <c r="C20" s="4" t="inlineStr">
        <is>
          <t xml:space="preserve">Lũa Hải Sơn Tùng · Lớn</t>
        </is>
      </c>
      <c r="D20" s="4" t="inlineStr">
        <is>
          <t xml:space="preserve">Cỡ lớn của Lũa Hải Sơn Tùng · Gắn cây hoặc rêu lên thân, ngả được bằng nút Nghiêng · 3 điểm</t>
        </is>
      </c>
      <c r="E20" s="4">
        <v>840</v>
      </c>
      <c r="F20" s="3" t="inlineStr">
        <is>
          <t xml:space="preserve">0.80 × 1.95 × 0.75</t>
        </is>
      </c>
      <c r="G20" s="3">
        <v>3</v>
      </c>
    </row>
    <row r="21" ht="66" customHeight="1">
      <c r="A21" s="4" t="inlineStr">
        <is>
          <t xml:space="preserve">wood-do-quyen-m</t>
        </is>
      </c>
      <c r="B21" s="3">
        <f>IMAGE("https://pub-590970a58ce5426989b3bcd2897271b4.r2.dev/sheet-images/decor/wood-do-quyen-m.png?v=1d5335f7")</f>
      </c>
      <c r="C21" s="4" t="inlineStr">
        <is>
          <t xml:space="preserve">Lũa Đỗ Quyên · Vừa</t>
        </is>
      </c>
      <c r="D21" s="4" t="inlineStr">
        <is>
          <t xml:space="preserve">Cỡ vừa của Lũa Đỗ Quyên · Gắn cây hoặc rêu lên thân, ngả được bằng nút Nghiêng · 2 điểm</t>
        </is>
      </c>
      <c r="E21" s="4">
        <v>460</v>
      </c>
      <c r="F21" s="3" t="inlineStr">
        <is>
          <t xml:space="preserve">1.20 × 0.65 × 0.73</t>
        </is>
      </c>
      <c r="G21" s="3">
        <v>2</v>
      </c>
    </row>
    <row r="22" ht="66" customHeight="1">
      <c r="A22" s="4" t="inlineStr">
        <is>
          <t xml:space="preserve">wood-do-quyen-l</t>
        </is>
      </c>
      <c r="B22" s="3">
        <f>IMAGE("https://pub-590970a58ce5426989b3bcd2897271b4.r2.dev/sheet-images/decor/wood-do-quyen-l.png?v=e37d1a90")</f>
      </c>
      <c r="C22" s="4" t="inlineStr">
        <is>
          <t xml:space="preserve">Lũa Đỗ Quyên · Lớn</t>
        </is>
      </c>
      <c r="D22" s="4" t="inlineStr">
        <is>
          <t xml:space="preserve">Cỡ lớn của Lũa Đỗ Quyên · Gắn cây hoặc rêu lên thân, ngả được bằng nút Nghiêng · 3 điểm</t>
        </is>
      </c>
      <c r="E22" s="4">
        <v>800</v>
      </c>
      <c r="F22" s="3" t="inlineStr">
        <is>
          <t xml:space="preserve">1.20 × 0.65 × 0.73</t>
        </is>
      </c>
      <c r="G22" s="3">
        <v>3</v>
      </c>
    </row>
    <row r="23" ht="66" customHeight="1">
      <c r="A23" s="4" t="inlineStr">
        <is>
          <t xml:space="preserve">wood-spider-m</t>
        </is>
      </c>
      <c r="B23" s="3">
        <f>IMAGE("https://pub-590970a58ce5426989b3bcd2897271b4.r2.dev/sheet-images/decor/wood-spider-m.png?v=f49a403b")</f>
      </c>
      <c r="C23" s="4" t="inlineStr">
        <is>
          <t xml:space="preserve">Lũa Spider · Vừa</t>
        </is>
      </c>
      <c r="D23" s="4" t="inlineStr">
        <is>
          <t xml:space="preserve">Cỡ vừa của Lũa Spider · Gắn cây hoặc rêu lên thân, ngả được bằng nút Nghiêng · 2 điểm</t>
        </is>
      </c>
      <c r="E23" s="4">
        <v>380</v>
      </c>
      <c r="F23" s="3" t="inlineStr">
        <is>
          <t xml:space="preserve">1.00 × 0.57 × 0.97</t>
        </is>
      </c>
      <c r="G23" s="3">
        <v>2</v>
      </c>
    </row>
    <row r="24" ht="66" customHeight="1">
      <c r="A24" s="4" t="inlineStr">
        <is>
          <t xml:space="preserve">wood-spider-l</t>
        </is>
      </c>
      <c r="B24" s="3">
        <f>IMAGE("https://pub-590970a58ce5426989b3bcd2897271b4.r2.dev/sheet-images/decor/wood-spider-l.png?v=0f89b8ba")</f>
      </c>
      <c r="C24" s="4" t="inlineStr">
        <is>
          <t xml:space="preserve">Lũa Spider · Lớn</t>
        </is>
      </c>
      <c r="D24" s="4" t="inlineStr">
        <is>
          <t xml:space="preserve">Cỡ lớn của Lũa Spider · Gắn cây hoặc rêu lên thân, ngả được bằng nút Nghiêng · 3 điểm</t>
        </is>
      </c>
      <c r="E24" s="4">
        <v>660</v>
      </c>
      <c r="F24" s="3" t="inlineStr">
        <is>
          <t xml:space="preserve">1.20 × 0.68 × 1.16</t>
        </is>
      </c>
      <c r="G24" s="3">
        <v>3</v>
      </c>
    </row>
    <row r="25" ht="66" customHeight="1">
      <c r="A25" s="4" t="inlineStr">
        <is>
          <t xml:space="preserve">wood-san-da-m</t>
        </is>
      </c>
      <c r="B25" s="3">
        <f>IMAGE("https://pub-590970a58ce5426989b3bcd2897271b4.r2.dev/sheet-images/decor/wood-san-da-m.png?v=30be2b65")</f>
      </c>
      <c r="C25" s="4" t="inlineStr">
        <is>
          <t xml:space="preserve">Lũa Săn Đá · Vừa</t>
        </is>
      </c>
      <c r="D25" s="4" t="inlineStr">
        <is>
          <t xml:space="preserve">Cỡ vừa của Lũa Săn Đá · Gắn cây hoặc rêu lên thân, ngả được bằng nút Nghiêng · 2 điểm</t>
        </is>
      </c>
      <c r="E25" s="4">
        <v>500</v>
      </c>
      <c r="F25" s="3" t="inlineStr">
        <is>
          <t xml:space="preserve">0.77 × 1.00 × 0.70</t>
        </is>
      </c>
      <c r="G25" s="3">
        <v>2</v>
      </c>
    </row>
    <row r="26" ht="66" customHeight="1">
      <c r="A26" s="4" t="inlineStr">
        <is>
          <t xml:space="preserve">wood-san-da-l</t>
        </is>
      </c>
      <c r="B26" s="3">
        <f>IMAGE("https://pub-590970a58ce5426989b3bcd2897271b4.r2.dev/sheet-images/decor/wood-san-da-l.png?v=bd31ded2")</f>
      </c>
      <c r="C26" s="4" t="inlineStr">
        <is>
          <t xml:space="preserve">Lũa Săn Đá · Lớn</t>
        </is>
      </c>
      <c r="D26" s="4" t="inlineStr">
        <is>
          <t xml:space="preserve">Cỡ lớn của Lũa Săn Đá · Gắn cây hoặc rêu lên thân, ngả được bằng nút Nghiêng · 3 điểm</t>
        </is>
      </c>
      <c r="E26" s="4">
        <v>880</v>
      </c>
      <c r="F26" s="3" t="inlineStr">
        <is>
          <t xml:space="preserve">1.20 × 1.56 × 1.09</t>
        </is>
      </c>
      <c r="G26" s="3">
        <v>3</v>
      </c>
    </row>
    <row r="27" ht="66" customHeight="1">
      <c r="A27" s="4" t="inlineStr">
        <is>
          <t xml:space="preserve">wood-mopani-m</t>
        </is>
      </c>
      <c r="B27" s="3">
        <f>IMAGE("https://pub-590970a58ce5426989b3bcd2897271b4.r2.dev/sheet-images/decor/wood-mopani-m.png?v=a433357b")</f>
      </c>
      <c r="C27" s="4" t="inlineStr">
        <is>
          <t xml:space="preserve">Lũa Mopani · Vừa</t>
        </is>
      </c>
      <c r="D27" s="4" t="inlineStr">
        <is>
          <t xml:space="preserve">Cỡ vừa của Lũa Mopani · Gắn cây hoặc rêu lên thân, ngả được bằng nút Nghiêng · 2 điểm</t>
        </is>
      </c>
      <c r="E27" s="4">
        <v>520</v>
      </c>
      <c r="F27" s="3" t="inlineStr">
        <is>
          <t xml:space="preserve">0.54 × 0.54 × 0.37</t>
        </is>
      </c>
      <c r="G27" s="3">
        <v>2</v>
      </c>
    </row>
    <row r="28" ht="66" customHeight="1">
      <c r="A28" s="4" t="inlineStr">
        <is>
          <t xml:space="preserve">wood-mopani-l</t>
        </is>
      </c>
      <c r="B28" s="3">
        <f>IMAGE("https://pub-590970a58ce5426989b3bcd2897271b4.r2.dev/sheet-images/decor/wood-mopani-l.png?v=02600ee7")</f>
      </c>
      <c r="C28" s="4" t="inlineStr">
        <is>
          <t xml:space="preserve">Lũa Mopani · Lớn</t>
        </is>
      </c>
      <c r="D28" s="4" t="inlineStr">
        <is>
          <t xml:space="preserve">Cỡ lớn của Lũa Mopani · Gắn cây hoặc rêu lên thân, ngả được bằng nút Nghiêng · 3 điểm</t>
        </is>
      </c>
      <c r="E28" s="4">
        <v>910</v>
      </c>
      <c r="F28" s="3" t="inlineStr">
        <is>
          <t xml:space="preserve">0.90 × 0.90 × 0.61</t>
        </is>
      </c>
      <c r="G28" s="3">
        <v>3</v>
      </c>
    </row>
    <row r="29" ht="66" customHeight="1">
      <c r="A29" s="4" t="inlineStr">
        <is>
          <t xml:space="preserve">wood-tra-gung-m</t>
        </is>
      </c>
      <c r="B29" s="3">
        <f>IMAGE("https://pub-590970a58ce5426989b3bcd2897271b4.r2.dev/sheet-images/decor/wood-tra-gung-m.png?v=f1410912")</f>
      </c>
      <c r="C29" s="4" t="inlineStr">
        <is>
          <t xml:space="preserve">Lũa Trà Gừng · Vừa</t>
        </is>
      </c>
      <c r="D29" s="4" t="inlineStr">
        <is>
          <t xml:space="preserve">Cỡ vừa của Lũa Trà Gừng · Gắn cây hoặc rêu lên thân, ngả được bằng nút Nghiêng · 2 điểm</t>
        </is>
      </c>
      <c r="E29" s="4">
        <v>240</v>
      </c>
      <c r="F29" s="3" t="inlineStr">
        <is>
          <t xml:space="preserve">0.39 × 0.47 × 0.20</t>
        </is>
      </c>
      <c r="G29" s="3">
        <v>2</v>
      </c>
    </row>
    <row r="30" ht="66" customHeight="1">
      <c r="A30" s="4" t="inlineStr">
        <is>
          <t xml:space="preserve">wood-tra-gung-l</t>
        </is>
      </c>
      <c r="B30" s="3">
        <f>IMAGE("https://pub-590970a58ce5426989b3bcd2897271b4.r2.dev/sheet-images/decor/wood-tra-gung-l.png?v=1de3c040")</f>
      </c>
      <c r="C30" s="4" t="inlineStr">
        <is>
          <t xml:space="preserve">Lũa Trà Gừng · Lớn</t>
        </is>
      </c>
      <c r="D30" s="4" t="inlineStr">
        <is>
          <t xml:space="preserve">Cỡ lớn của Lũa Trà Gừng · Gắn cây hoặc rêu lên thân, ngả được bằng nút Nghiêng · 3 điểm</t>
        </is>
      </c>
      <c r="E30" s="4">
        <v>420</v>
      </c>
      <c r="F30" s="3" t="inlineStr">
        <is>
          <t xml:space="preserve">0.65 × 0.78 × 0.33</t>
        </is>
      </c>
      <c r="G30" s="3">
        <v>3</v>
      </c>
    </row>
    <row r="31" ht="66" customHeight="1">
      <c r="A31" s="4" t="inlineStr">
        <is>
          <t xml:space="preserve">wood-bonsai-m</t>
        </is>
      </c>
      <c r="B31" s="3">
        <f>IMAGE("https://pub-590970a58ce5426989b3bcd2897271b4.r2.dev/sheet-images/decor/wood-bonsai-m.png?v=05394b90")</f>
      </c>
      <c r="C31" s="4" t="inlineStr">
        <is>
          <t xml:space="preserve">Lũa Bonsai · Vừa</t>
        </is>
      </c>
      <c r="D31" s="4" t="inlineStr">
        <is>
          <t xml:space="preserve">Cỡ vừa của Lũa Bonsai · Gắn cây hoặc rêu lên thân, ngả được bằng nút Nghiêng · 2 điểm</t>
        </is>
      </c>
      <c r="E31" s="4">
        <v>640</v>
      </c>
      <c r="F31" s="3" t="inlineStr">
        <is>
          <t xml:space="preserve">0.47 × 1.03 × 0.62</t>
        </is>
      </c>
      <c r="G31" s="3">
        <v>2</v>
      </c>
    </row>
    <row r="32" ht="66" customHeight="1">
      <c r="A32" s="4" t="inlineStr">
        <is>
          <t xml:space="preserve">wood-bonsai-l</t>
        </is>
      </c>
      <c r="B32" s="3">
        <f>IMAGE("https://pub-590970a58ce5426989b3bcd2897271b4.r2.dev/sheet-images/decor/wood-bonsai-l.png?v=5e93f602")</f>
      </c>
      <c r="C32" s="4" t="inlineStr">
        <is>
          <t xml:space="preserve">Lũa Bonsai · Lớn</t>
        </is>
      </c>
      <c r="D32" s="4" t="inlineStr">
        <is>
          <t xml:space="preserve">Cỡ lớn của Lũa Bonsai · Gắn cây hoặc rêu lên thân, ngả được bằng nút Nghiêng · 3 điểm</t>
        </is>
      </c>
      <c r="E32" s="4">
        <v>1120</v>
      </c>
      <c r="F32" s="3" t="inlineStr">
        <is>
          <t xml:space="preserve">0.79 × 1.71 × 1.04</t>
        </is>
      </c>
      <c r="G32" s="3">
        <v>3</v>
      </c>
    </row>
    <row r="33" ht="66" customHeight="1">
      <c r="A33" s="4" t="inlineStr">
        <is>
          <t xml:space="preserve">wood-co-thu</t>
        </is>
      </c>
      <c r="B33" s="3">
        <f>IMAGE("https://pub-590970a58ce5426989b3bcd2897271b4.r2.dev/sheet-images/decor/wood-co-thu.png?v=ad816b5d")</f>
      </c>
      <c r="C33" s="4" t="inlineStr">
        <is>
          <t xml:space="preserve">Lũa cổ thụ đứng</t>
        </is>
      </c>
      <c r="D33" s="4" t="inlineStr">
        <is>
          <t xml:space="preserve">Thân to vươn cao gần chạm mặt nước, ngả được bằng nút Nghiêng · 6 vị trí gắn rêu, ráy · 3 điểm</t>
        </is>
      </c>
      <c r="E33" s="4">
        <v>900</v>
      </c>
      <c r="F33" s="3" t="inlineStr">
        <is>
          <t xml:space="preserve">0.49 × 1.71 × 0.58</t>
        </is>
      </c>
      <c r="G33" s="3">
        <v>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river-pebbles</t>
        </is>
      </c>
      <c r="B2" s="3">
        <f>IMAGE("https://pub-590970a58ce5426989b3bcd2897271b4.r2.dev/sheet-images/decor/river-pebbles.png?v=97f2c564")</f>
      </c>
      <c r="C2" s="4" t="inlineStr">
        <is>
          <t xml:space="preserve">Đá cuội suối</t>
        </is>
      </c>
      <c r="D2" s="4" t="inlineStr">
        <is>
          <t xml:space="preserve">Đá tự nhiên · Gắn rêu, ráy hoặc dương xỉ lên mặt đá</t>
        </is>
      </c>
      <c r="E2" s="4">
        <v>70</v>
      </c>
      <c r="F2" s="3" t="inlineStr">
        <is>
          <t xml:space="preserve">0.42 × 0.14 × 0.33</t>
        </is>
      </c>
      <c r="G2" s="3">
        <v>1</v>
      </c>
    </row>
    <row r="3" ht="66" customHeight="1">
      <c r="A3" s="4" t="inlineStr">
        <is>
          <t xml:space="preserve">dragon-stone</t>
        </is>
      </c>
      <c r="B3" s="3">
        <f>IMAGE("https://pub-590970a58ce5426989b3bcd2897271b4.r2.dev/sheet-images/decor/dragon-stone.png?v=24629cae")</f>
      </c>
      <c r="C3" s="4" t="inlineStr">
        <is>
          <t xml:space="preserve">Đá tai mèo</t>
        </is>
      </c>
      <c r="D3" s="4" t="inlineStr">
        <is>
          <t xml:space="preserve">Đá tự nhiên · Gắn rêu, ráy hoặc dương xỉ lên mặt đá</t>
        </is>
      </c>
      <c r="E3" s="4">
        <v>140</v>
      </c>
      <c r="F3" s="3" t="inlineStr">
        <is>
          <t xml:space="preserve">0.28 × 0.68 × 0.28</t>
        </is>
      </c>
      <c r="G3" s="3">
        <v>1</v>
      </c>
    </row>
    <row r="4" ht="66" customHeight="1">
      <c r="A4" s="4" t="inlineStr">
        <is>
          <t xml:space="preserve">lava-rock</t>
        </is>
      </c>
      <c r="B4" s="3">
        <f>IMAGE("https://pub-590970a58ce5426989b3bcd2897271b4.r2.dev/sheet-images/decor/lava-rock.png?v=260fd948")</f>
      </c>
      <c r="C4" s="4" t="inlineStr">
        <is>
          <t xml:space="preserve">Đá nham thạch</t>
        </is>
      </c>
      <c r="D4" s="4" t="inlineStr">
        <is>
          <t xml:space="preserve">Đá tự nhiên · Gắn rêu, ráy hoặc dương xỉ lên mặt đá</t>
        </is>
      </c>
      <c r="E4" s="4">
        <v>100</v>
      </c>
      <c r="F4" s="3" t="inlineStr">
        <is>
          <t xml:space="preserve">0.43 × 0.39 × 0.41</t>
        </is>
      </c>
      <c r="G4" s="3">
        <v>1</v>
      </c>
    </row>
    <row r="5" ht="66" customHeight="1">
      <c r="A5" s="4" t="inlineStr">
        <is>
          <t xml:space="preserve">seiryu</t>
        </is>
      </c>
      <c r="B5" s="3">
        <f>IMAGE("https://pub-590970a58ce5426989b3bcd2897271b4.r2.dev/sheet-images/decor/seiryu.png?v=7de1eaf5")</f>
      </c>
      <c r="C5" s="4" t="inlineStr">
        <is>
          <t xml:space="preserve">Đá vân Seiryu</t>
        </is>
      </c>
      <c r="D5" s="4" t="inlineStr">
        <is>
          <t xml:space="preserve">Đá tự nhiên · Gắn rêu, ráy hoặc dương xỉ lên mặt đá</t>
        </is>
      </c>
      <c r="E5" s="4">
        <v>160</v>
      </c>
      <c r="F5" s="3" t="inlineStr">
        <is>
          <t xml:space="preserve">0.41 × 0.55 × 0.36</t>
        </is>
      </c>
      <c r="G5" s="3">
        <v>1</v>
      </c>
    </row>
    <row r="6" ht="66" customHeight="1">
      <c r="A6" s="4" t="inlineStr">
        <is>
          <t xml:space="preserve">rock-cluster</t>
        </is>
      </c>
      <c r="B6" s="3">
        <f>IMAGE("https://pub-590970a58ce5426989b3bcd2897271b4.r2.dev/sheet-images/decor/rock-cluster.png?v=17848b11")</f>
      </c>
      <c r="C6" s="4" t="inlineStr">
        <is>
          <t xml:space="preserve">Cụm đá tự nhiên</t>
        </is>
      </c>
      <c r="D6" s="4" t="inlineStr">
        <is>
          <t xml:space="preserve">Đá tự nhiên · Gắn rêu, ráy hoặc dương xỉ lên mặt đá</t>
        </is>
      </c>
      <c r="E6" s="4">
        <v>200</v>
      </c>
      <c r="F6" s="3" t="inlineStr">
        <is>
          <t xml:space="preserve">0.49 × 0.55 × 0.42</t>
        </is>
      </c>
      <c r="G6" s="3">
        <v>1</v>
      </c>
    </row>
    <row r="7" ht="66" customHeight="1">
      <c r="A7" s="4" t="inlineStr">
        <is>
          <t xml:space="preserve">mini-landscape</t>
        </is>
      </c>
      <c r="B7" s="3">
        <f>IMAGE("https://pub-590970a58ce5426989b3bcd2897271b4.r2.dev/sheet-images/decor/mini-landscape.png?v=262b065a")</f>
      </c>
      <c r="C7" s="4" t="inlineStr">
        <is>
          <t xml:space="preserve">Hòn non bộ</t>
        </is>
      </c>
      <c r="D7" s="4" t="inlineStr">
        <is>
          <t xml:space="preserve">Tiểu cảnh núi đá nhiều tầng · Gắn rêu lên các mỏm đá</t>
        </is>
      </c>
      <c r="E7" s="4">
        <v>320</v>
      </c>
      <c r="F7" s="3" t="inlineStr">
        <is>
          <t xml:space="preserve">0.51 × 0.63 × 0.29</t>
        </is>
      </c>
      <c r="G7" s="3">
        <v>1</v>
      </c>
    </row>
    <row r="8" ht="66" customHeight="1">
      <c r="A8" s="4" t="inlineStr">
        <is>
          <t xml:space="preserve">stone-elephant-skin</t>
        </is>
      </c>
      <c r="B8" s="3">
        <f>IMAGE("https://pub-590970a58ce5426989b3bcd2897271b4.r2.dev/sheet-images/decor/stone-elephant-skin.png?v=def74d81")</f>
      </c>
      <c r="C8" s="4" t="inlineStr">
        <is>
          <t xml:space="preserve">Đá da voi</t>
        </is>
      </c>
      <c r="D8" s="4" t="inlineStr">
        <is>
          <t xml:space="preserve">Mặt đá sần nhăn như da voi, xếp tầng tạo khe núi · Hợp hồ thủy sinh và hồ Koi</t>
        </is>
      </c>
      <c r="E8" s="4">
        <v>180</v>
      </c>
      <c r="F8" s="3" t="inlineStr">
        <is>
          <t xml:space="preserve">0.44 × 0.27 × 0.30</t>
        </is>
      </c>
      <c r="G8" s="3">
        <v>1</v>
      </c>
    </row>
    <row r="9" ht="66" customHeight="1">
      <c r="A9" s="4" t="inlineStr">
        <is>
          <t xml:space="preserve">stone-coral-rock</t>
        </is>
      </c>
      <c r="B9" s="3">
        <f>IMAGE("https://pub-590970a58ce5426989b3bcd2897271b4.r2.dev/sheet-images/decor/stone-coral-rock.png?v=130333c3")</f>
      </c>
      <c r="C9" s="4" t="inlineStr">
        <is>
          <t xml:space="preserve">Đá san hô</t>
        </is>
      </c>
      <c r="D9" s="4" t="inlineStr">
        <is>
          <t xml:space="preserve">Xốp, nhẹ, nhiều lỗ; vừa làm nền vừa lọc, giữ pH cao ổn định · Hợp bể cá biển</t>
        </is>
      </c>
      <c r="E9" s="4">
        <v>150</v>
      </c>
      <c r="F9" s="3" t="inlineStr">
        <is>
          <t xml:space="preserve">0.32 × 0.19 × 0.27</t>
        </is>
      </c>
      <c r="G9" s="3">
        <v>1</v>
      </c>
    </row>
    <row r="10" ht="66" customHeight="1">
      <c r="A10" s="4" t="inlineStr">
        <is>
          <t xml:space="preserve">stone-lava-red</t>
        </is>
      </c>
      <c r="B10" s="3">
        <f>IMAGE("https://pub-590970a58ce5426989b3bcd2897271b4.r2.dev/sheet-images/decor/stone-lava-red.png?v=a98337af")</f>
      </c>
      <c r="C10" s="4" t="inlineStr">
        <is>
          <t xml:space="preserve">Đá nham thạch đỏ</t>
        </is>
      </c>
      <c r="D10" s="4" t="inlineStr">
        <is>
          <t xml:space="preserve">Xốp, lỗ li ti cho vi sinh trú ngụ và lọc nước · Lót nền hoặc phân tầng</t>
        </is>
      </c>
      <c r="E10" s="4">
        <v>110</v>
      </c>
      <c r="F10" s="3" t="inlineStr">
        <is>
          <t xml:space="preserve">0.28 × 0.14 × 0.29</t>
        </is>
      </c>
      <c r="G10" s="3">
        <v>1</v>
      </c>
    </row>
    <row r="11" ht="66" customHeight="1">
      <c r="A11" s="4" t="inlineStr">
        <is>
          <t xml:space="preserve">stone-sea-pebbles</t>
        </is>
      </c>
      <c r="B11" s="3">
        <f>IMAGE("https://pub-590970a58ce5426989b3bcd2897271b4.r2.dev/sheet-images/decor/stone-sea-pebbles.png?v=732854d9")</f>
      </c>
      <c r="C11" s="4" t="inlineStr">
        <is>
          <t xml:space="preserve">Đá cuội biển</t>
        </is>
      </c>
      <c r="D11" s="4" t="inlineStr">
        <is>
          <t xml:space="preserve">Cuội tròn mượt nhiều màu, vẻ đẹp hoang sơ · Hợp hồ cá cảnh, thủy sinh lẫn hồ Koi</t>
        </is>
      </c>
      <c r="E11" s="4">
        <v>80</v>
      </c>
      <c r="F11" s="3" t="inlineStr">
        <is>
          <t xml:space="preserve">0.27 × 0.09 × 0.27</t>
        </is>
      </c>
      <c r="G11" s="3">
        <v>1</v>
      </c>
    </row>
    <row r="12" ht="66" customHeight="1">
      <c r="A12" s="4" t="inlineStr">
        <is>
          <t xml:space="preserve">stone-co-thach</t>
        </is>
      </c>
      <c r="B12" s="3">
        <f>IMAGE("https://pub-590970a58ce5426989b3bcd2897271b4.r2.dev/sheet-images/decor/stone-co-thach.png?v=9270d3a8")</f>
      </c>
      <c r="C12" s="4" t="inlineStr">
        <is>
          <t xml:space="preserve">Đá cổ thạch</t>
        </is>
      </c>
      <c r="D12" s="4" t="inlineStr">
        <is>
          <t xml:space="preserve">Góc cạnh, vân sọc trắng vàng · Điểm nhấn cao cấp cho hòn non bộ</t>
        </is>
      </c>
      <c r="E12" s="4">
        <v>260</v>
      </c>
      <c r="F12" s="3" t="inlineStr">
        <is>
          <t xml:space="preserve">0.32 × 0.36 × 0.19</t>
        </is>
      </c>
      <c r="G12" s="3">
        <v>1</v>
      </c>
    </row>
    <row r="13" ht="66" customHeight="1">
      <c r="A13" s="4" t="inlineStr">
        <is>
          <t xml:space="preserve">stone-tuyet-son</t>
        </is>
      </c>
      <c r="B13" s="3">
        <f>IMAGE("https://pub-590970a58ce5426989b3bcd2897271b4.r2.dev/sheet-images/decor/stone-tuyet-son.png?v=c7fe40d7")</f>
      </c>
      <c r="C13" s="4" t="inlineStr">
        <is>
          <t xml:space="preserve">Đá tuyết sơn</t>
        </is>
      </c>
      <c r="D13" s="4" t="inlineStr">
        <is>
          <t xml:space="preserve">Nền đen vân trắng như tuyết phủ đỉnh núi · Điểm nhấn cao cấp cho hòn non bộ</t>
        </is>
      </c>
      <c r="E13" s="4">
        <v>280</v>
      </c>
      <c r="F13" s="3" t="inlineStr">
        <is>
          <t xml:space="preserve">0.34 × 0.42 × 0.23</t>
        </is>
      </c>
      <c r="G13" s="3">
        <v>1</v>
      </c>
    </row>
    <row r="14" ht="66" customHeight="1">
      <c r="A14" s="4" t="inlineStr">
        <is>
          <t xml:space="preserve">starter-stone</t>
        </is>
      </c>
      <c r="B14" s="3">
        <f>IMAGE("https://pub-590970a58ce5426989b3bcd2897271b4.r2.dev/sheet-images/decor/starter-stone.png?v=0ba48c6c")</f>
      </c>
      <c r="C14" s="4" t="inlineStr">
        <is>
          <t xml:space="preserve">Đá suối tròn</t>
        </is>
      </c>
      <c r="D14" s="4" t="inlineStr">
        <is>
          <t xml:space="preserve">Đá cuội tròn · Gắn rêu hoặc ráy lên mặt đá</t>
        </is>
      </c>
      <c r="E14" s="4">
        <v>80</v>
      </c>
      <c r="F14" s="3" t="inlineStr">
        <is>
          <t xml:space="preserve">0.35 × 0.27 × 0.30</t>
        </is>
      </c>
      <c r="G14" s="3">
        <v>1</v>
      </c>
    </row>
    <row r="15" ht="66" customHeight="1">
      <c r="A15" s="4" t="inlineStr">
        <is>
          <t xml:space="preserve">stone-elephant-skin-m</t>
        </is>
      </c>
      <c r="B15" s="3">
        <f>IMAGE("https://pub-590970a58ce5426989b3bcd2897271b4.r2.dev/sheet-images/decor/stone-elephant-skin-m.png?v=ca992955")</f>
      </c>
      <c r="C15" s="4" t="inlineStr">
        <is>
          <t xml:space="preserve">Đá da voi · Vừa</t>
        </is>
      </c>
      <c r="D15" s="4" t="inlineStr">
        <is>
          <t xml:space="preserve">Cỡ vừa của Đá da voi · Chồng đá, gác lũa hoặc gắn rêu lên mặt đá · 2 điểm</t>
        </is>
      </c>
      <c r="E15" s="4">
        <v>360</v>
      </c>
      <c r="F15" s="3" t="inlineStr">
        <is>
          <t xml:space="preserve">0.80 × 0.49 × 0.54</t>
        </is>
      </c>
      <c r="G15" s="3">
        <v>2</v>
      </c>
    </row>
    <row r="16" ht="66" customHeight="1">
      <c r="A16" s="4" t="inlineStr">
        <is>
          <t xml:space="preserve">stone-elephant-skin-l</t>
        </is>
      </c>
      <c r="B16" s="3">
        <f>IMAGE("https://pub-590970a58ce5426989b3bcd2897271b4.r2.dev/sheet-images/decor/stone-elephant-skin-l.png?v=233bb469")</f>
      </c>
      <c r="C16" s="4" t="inlineStr">
        <is>
          <t xml:space="preserve">Đá da voi · Lớn</t>
        </is>
      </c>
      <c r="D16" s="4" t="inlineStr">
        <is>
          <t xml:space="preserve">Cỡ lớn của Đá da voi · Chồng đá, gác lũa hoặc gắn rêu lên mặt đá · 3 điểm</t>
        </is>
      </c>
      <c r="E16" s="4">
        <v>630</v>
      </c>
      <c r="F16" s="3" t="inlineStr">
        <is>
          <t xml:space="preserve">1.20 × 0.73 × 0.81</t>
        </is>
      </c>
      <c r="G16" s="3">
        <v>3</v>
      </c>
    </row>
    <row r="17" ht="66" customHeight="1">
      <c r="A17" s="4" t="inlineStr">
        <is>
          <t xml:space="preserve">stone-coral-rock-m</t>
        </is>
      </c>
      <c r="B17" s="3">
        <f>IMAGE("https://pub-590970a58ce5426989b3bcd2897271b4.r2.dev/sheet-images/decor/stone-coral-rock-m.png?v=2c66a034")</f>
      </c>
      <c r="C17" s="4" t="inlineStr">
        <is>
          <t xml:space="preserve">Đá san hô · Vừa</t>
        </is>
      </c>
      <c r="D17" s="4" t="inlineStr">
        <is>
          <t xml:space="preserve">Cỡ vừa của Đá san hô · Chồng đá, gác lũa hoặc gắn rêu lên mặt đá · 2 điểm</t>
        </is>
      </c>
      <c r="E17" s="4">
        <v>300</v>
      </c>
      <c r="F17" s="3" t="inlineStr">
        <is>
          <t xml:space="preserve">0.58 × 0.33 × 0.49</t>
        </is>
      </c>
      <c r="G17" s="3">
        <v>2</v>
      </c>
    </row>
    <row r="18" ht="66" customHeight="1">
      <c r="A18" s="4" t="inlineStr">
        <is>
          <t xml:space="preserve">stone-coral-rock-l</t>
        </is>
      </c>
      <c r="B18" s="3">
        <f>IMAGE("https://pub-590970a58ce5426989b3bcd2897271b4.r2.dev/sheet-images/decor/stone-coral-rock-l.png?v=75ff3fd9")</f>
      </c>
      <c r="C18" s="4" t="inlineStr">
        <is>
          <t xml:space="preserve">Đá san hô · Lớn</t>
        </is>
      </c>
      <c r="D18" s="4" t="inlineStr">
        <is>
          <t xml:space="preserve">Cỡ lớn của Đá san hô · Chồng đá, gác lũa hoặc gắn rêu lên mặt đá · 3 điểm</t>
        </is>
      </c>
      <c r="E18" s="4">
        <v>520</v>
      </c>
      <c r="F18" s="3" t="inlineStr">
        <is>
          <t xml:space="preserve">0.97 × 0.56 × 0.82</t>
        </is>
      </c>
      <c r="G18" s="3">
        <v>3</v>
      </c>
    </row>
    <row r="19" ht="66" customHeight="1">
      <c r="A19" s="4" t="inlineStr">
        <is>
          <t xml:space="preserve">stone-lava-red-m</t>
        </is>
      </c>
      <c r="B19" s="3">
        <f>IMAGE("https://pub-590970a58ce5426989b3bcd2897271b4.r2.dev/sheet-images/decor/stone-lava-red-m.png?v=298ab498")</f>
      </c>
      <c r="C19" s="4" t="inlineStr">
        <is>
          <t xml:space="preserve">Đá nham thạch đỏ · Vừa</t>
        </is>
      </c>
      <c r="D19" s="4" t="inlineStr">
        <is>
          <t xml:space="preserve">Cỡ vừa của Đá nham thạch đỏ · Chồng đá, gác lũa hoặc gắn rêu lên mặt đá · 2 điểm</t>
        </is>
      </c>
      <c r="E19" s="4">
        <v>220</v>
      </c>
      <c r="F19" s="3" t="inlineStr">
        <is>
          <t xml:space="preserve">0.51 × 0.26 × 0.51</t>
        </is>
      </c>
      <c r="G19" s="3">
        <v>2</v>
      </c>
    </row>
    <row r="20" ht="66" customHeight="1">
      <c r="A20" s="4" t="inlineStr">
        <is>
          <t xml:space="preserve">stone-lava-red-l</t>
        </is>
      </c>
      <c r="B20" s="3">
        <f>IMAGE("https://pub-590970a58ce5426989b3bcd2897271b4.r2.dev/sheet-images/decor/stone-lava-red-l.png?v=f370f3e2")</f>
      </c>
      <c r="C20" s="4" t="inlineStr">
        <is>
          <t xml:space="preserve">Đá nham thạch đỏ · Lớn</t>
        </is>
      </c>
      <c r="D20" s="4" t="inlineStr">
        <is>
          <t xml:space="preserve">Cỡ lớn của Đá nham thạch đỏ · Chồng đá, gác lũa hoặc gắn rêu lên mặt đá · 3 điểm</t>
        </is>
      </c>
      <c r="E20" s="4">
        <v>380</v>
      </c>
      <c r="F20" s="3" t="inlineStr">
        <is>
          <t xml:space="preserve">0.85 × 0.43 × 0.86</t>
        </is>
      </c>
      <c r="G20" s="3">
        <v>3</v>
      </c>
    </row>
    <row r="21" ht="66" customHeight="1">
      <c r="A21" s="4" t="inlineStr">
        <is>
          <t xml:space="preserve">stone-sea-pebbles-m</t>
        </is>
      </c>
      <c r="B21" s="3">
        <f>IMAGE("https://pub-590970a58ce5426989b3bcd2897271b4.r2.dev/sheet-images/decor/stone-sea-pebbles-m.png?v=7c9fb1ee")</f>
      </c>
      <c r="C21" s="4" t="inlineStr">
        <is>
          <t xml:space="preserve">Đá cuội biển · Vừa</t>
        </is>
      </c>
      <c r="D21" s="4" t="inlineStr">
        <is>
          <t xml:space="preserve">Cỡ vừa của Đá cuội biển · Chồng đá, gác lũa hoặc gắn rêu lên mặt đá · 2 điểm</t>
        </is>
      </c>
      <c r="E21" s="4">
        <v>160</v>
      </c>
      <c r="F21" s="3" t="inlineStr">
        <is>
          <t xml:space="preserve">0.49 × 0.16 × 0.49</t>
        </is>
      </c>
      <c r="G21" s="3">
        <v>2</v>
      </c>
    </row>
    <row r="22" ht="66" customHeight="1">
      <c r="A22" s="4" t="inlineStr">
        <is>
          <t xml:space="preserve">stone-sea-pebbles-l</t>
        </is>
      </c>
      <c r="B22" s="3">
        <f>IMAGE("https://pub-590970a58ce5426989b3bcd2897271b4.r2.dev/sheet-images/decor/stone-sea-pebbles-l.png?v=fddf531b")</f>
      </c>
      <c r="C22" s="4" t="inlineStr">
        <is>
          <t xml:space="preserve">Đá cuội biển · Lớn</t>
        </is>
      </c>
      <c r="D22" s="4" t="inlineStr">
        <is>
          <t xml:space="preserve">Cỡ lớn của Đá cuội biển · Chồng đá, gác lũa hoặc gắn rêu lên mặt đá · 3 điểm</t>
        </is>
      </c>
      <c r="E22" s="4">
        <v>280</v>
      </c>
      <c r="F22" s="3" t="inlineStr">
        <is>
          <t xml:space="preserve">0.81 × 0.27 × 0.81</t>
        </is>
      </c>
      <c r="G22" s="3">
        <v>3</v>
      </c>
    </row>
    <row r="23" ht="66" customHeight="1">
      <c r="A23" s="4" t="inlineStr">
        <is>
          <t xml:space="preserve">stone-co-thach-m</t>
        </is>
      </c>
      <c r="B23" s="3">
        <f>IMAGE("https://pub-590970a58ce5426989b3bcd2897271b4.r2.dev/sheet-images/decor/stone-co-thach-m.png?v=6b8bd51f")</f>
      </c>
      <c r="C23" s="4" t="inlineStr">
        <is>
          <t xml:space="preserve">Đá cổ thạch · Vừa</t>
        </is>
      </c>
      <c r="D23" s="4" t="inlineStr">
        <is>
          <t xml:space="preserve">Cỡ vừa của Đá cổ thạch · Chồng đá, gác lũa hoặc gắn rêu lên mặt đá · 2 điểm</t>
        </is>
      </c>
      <c r="E23" s="4">
        <v>520</v>
      </c>
      <c r="F23" s="3" t="inlineStr">
        <is>
          <t xml:space="preserve">0.57 × 0.65 × 0.34</t>
        </is>
      </c>
      <c r="G23" s="3">
        <v>2</v>
      </c>
    </row>
    <row r="24" ht="66" customHeight="1">
      <c r="A24" s="4" t="inlineStr">
        <is>
          <t xml:space="preserve">stone-co-thach-l</t>
        </is>
      </c>
      <c r="B24" s="3">
        <f>IMAGE("https://pub-590970a58ce5426989b3bcd2897271b4.r2.dev/sheet-images/decor/stone-co-thach-l.png?v=ce17e38e")</f>
      </c>
      <c r="C24" s="4" t="inlineStr">
        <is>
          <t xml:space="preserve">Đá cổ thạch · Lớn</t>
        </is>
      </c>
      <c r="D24" s="4" t="inlineStr">
        <is>
          <t xml:space="preserve">Cỡ lớn của Đá cổ thạch · Chồng đá, gác lũa hoặc gắn rêu lên mặt đá · 3 điểm</t>
        </is>
      </c>
      <c r="E24" s="4">
        <v>910</v>
      </c>
      <c r="F24" s="3" t="inlineStr">
        <is>
          <t xml:space="preserve">0.95 × 1.09 × 0.57</t>
        </is>
      </c>
      <c r="G24" s="3">
        <v>3</v>
      </c>
    </row>
    <row r="25" ht="66" customHeight="1">
      <c r="A25" s="4" t="inlineStr">
        <is>
          <t xml:space="preserve">stone-tuyet-son-m</t>
        </is>
      </c>
      <c r="B25" s="3">
        <f>IMAGE("https://pub-590970a58ce5426989b3bcd2897271b4.r2.dev/sheet-images/decor/stone-tuyet-son-m.png?v=58d719a2")</f>
      </c>
      <c r="C25" s="4" t="inlineStr">
        <is>
          <t xml:space="preserve">Đá tuyết sơn · Vừa</t>
        </is>
      </c>
      <c r="D25" s="4" t="inlineStr">
        <is>
          <t xml:space="preserve">Cỡ vừa của Đá tuyết sơn · Chồng đá, gác lũa hoặc gắn rêu lên mặt đá · 2 điểm</t>
        </is>
      </c>
      <c r="E25" s="4">
        <v>560</v>
      </c>
      <c r="F25" s="3" t="inlineStr">
        <is>
          <t xml:space="preserve">0.62 × 0.76 × 0.42</t>
        </is>
      </c>
      <c r="G25" s="3">
        <v>2</v>
      </c>
    </row>
    <row r="26" ht="66" customHeight="1">
      <c r="A26" s="4" t="inlineStr">
        <is>
          <t xml:space="preserve">stone-tuyet-son-l</t>
        </is>
      </c>
      <c r="B26" s="3">
        <f>IMAGE("https://pub-590970a58ce5426989b3bcd2897271b4.r2.dev/sheet-images/decor/stone-tuyet-son-l.png?v=66f30b50")</f>
      </c>
      <c r="C26" s="4" t="inlineStr">
        <is>
          <t xml:space="preserve">Đá tuyết sơn · Lớn</t>
        </is>
      </c>
      <c r="D26" s="4" t="inlineStr">
        <is>
          <t xml:space="preserve">Cỡ lớn của Đá tuyết sơn · Chồng đá, gác lũa hoặc gắn rêu lên mặt đá · 3 điểm</t>
        </is>
      </c>
      <c r="E26" s="4">
        <v>980</v>
      </c>
      <c r="F26" s="3" t="inlineStr">
        <is>
          <t xml:space="preserve">1.03 × 1.27 × 0.70</t>
        </is>
      </c>
      <c r="G26" s="3">
        <v>3</v>
      </c>
    </row>
    <row r="27" ht="66" customHeight="1">
      <c r="A27" s="4" t="inlineStr">
        <is>
          <t xml:space="preserve">stone-iwagumi</t>
        </is>
      </c>
      <c r="B27" s="3">
        <f>IMAGE("https://pub-590970a58ce5426989b3bcd2897271b4.r2.dev/sheet-images/decor/stone-iwagumi.png?v=8ac3bb1b")</f>
      </c>
      <c r="C27" s="4" t="inlineStr">
        <is>
          <t xml:space="preserve">Đá tảng chủ</t>
        </is>
      </c>
      <c r="D27" s="4" t="inlineStr">
        <is>
          <t xml:space="preserve">Tảng đá đứng cao làm điểm nhấn chính kiểu Iwagumi · Gắn rêu ở chân và đỉnh · 3 điểm</t>
        </is>
      </c>
      <c r="E27" s="4">
        <v>700</v>
      </c>
      <c r="F27" s="3" t="inlineStr">
        <is>
          <t xml:space="preserve">0.46 × 1.00 × 0.38</t>
        </is>
      </c>
      <c r="G27" s="3">
        <v>3</v>
      </c>
    </row>
    <row r="28" ht="66" customHeight="1">
      <c r="A28" s="4" t="inlineStr">
        <is>
          <t xml:space="preserve">stone-slab</t>
        </is>
      </c>
      <c r="B28" s="3">
        <f>IMAGE("https://pub-590970a58ce5426989b3bcd2897271b4.r2.dev/sheet-images/decor/stone-slab.png?v=7cb8d94d")</f>
      </c>
      <c r="C28" s="4" t="inlineStr">
        <is>
          <t xml:space="preserve">Đá phiến bậc</t>
        </is>
      </c>
      <c r="D28" s="4" t="inlineStr">
        <is>
          <t xml:space="preserve">Mặt trên phẳng để chồng thêm đá hoặc gác lũa, dựng núi đá nhiều tầng · 2 điểm</t>
        </is>
      </c>
      <c r="E28" s="4">
        <v>300</v>
      </c>
      <c r="F28" s="3" t="inlineStr">
        <is>
          <t xml:space="preserve">0.62 × 0.16 × 0.48</t>
        </is>
      </c>
      <c r="G28" s="3">
        <v>2</v>
      </c>
    </row>
    <row r="29" ht="66" customHeight="1">
      <c r="A29" s="4" t="inlineStr">
        <is>
          <t xml:space="preserve">stone-cliff</t>
        </is>
      </c>
      <c r="B29" s="3">
        <f>IMAGE("https://pub-590970a58ce5426989b3bcd2897271b4.r2.dev/sheet-images/decor/stone-cliff.png?v=c96e455a")</f>
      </c>
      <c r="C29" s="4" t="inlineStr">
        <is>
          <t xml:space="preserve">Đá vách núi</t>
        </is>
      </c>
      <c r="D29" s="4" t="inlineStr">
        <is>
          <t xml:space="preserve">Khối đá dài nhiều tầng dựng sát kính sau, che phần hồ phía sau và tạo chiều sâu · 3 điểm</t>
        </is>
      </c>
      <c r="E29" s="4">
        <v>800</v>
      </c>
      <c r="F29" s="3" t="inlineStr">
        <is>
          <t xml:space="preserve">0.95 × 1.30 × 0.34</t>
        </is>
      </c>
      <c r="G29" s="3">
        <v>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coral-rubble</t>
        </is>
      </c>
      <c r="B2" s="3">
        <f>IMAGE("https://pub-590970a58ce5426989b3bcd2897271b4.r2.dev/sheet-images/decor/coral-rubble.png?v=b433013b")</f>
      </c>
      <c r="C2" s="4" t="inlineStr">
        <is>
          <t xml:space="preserve">San hô vụn</t>
        </is>
      </c>
      <c r="D2" s="4" t="inlineStr">
        <is>
          <t xml:space="preserve">San hô thật dạng vụn · Lót nền hoặc làm vật liệu lọc tăng pH cho bể nước mặn</t>
        </is>
      </c>
      <c r="E2" s="4">
        <v>90</v>
      </c>
      <c r="F2" s="3" t="inlineStr">
        <is>
          <t xml:space="preserve">0.26 × 0.05 × 0.26</t>
        </is>
      </c>
      <c r="G2" s="3">
        <v>1</v>
      </c>
    </row>
    <row r="3" ht="66" customHeight="1">
      <c r="A3" s="4" t="inlineStr">
        <is>
          <t xml:space="preserve">coral-block</t>
        </is>
      </c>
      <c r="B3" s="3">
        <f>IMAGE("https://pub-590970a58ce5426989b3bcd2897271b4.r2.dev/sheet-images/decor/coral-block.png?v=7ca277ee")</f>
      </c>
      <c r="C3" s="4" t="inlineStr">
        <is>
          <t xml:space="preserve">San hô khối</t>
        </is>
      </c>
      <c r="D3" s="4" t="inlineStr">
        <is>
          <t xml:space="preserve">Khối san hô thật vân não · Dùng cho bể nước mặn, giúp ổn định pH</t>
        </is>
      </c>
      <c r="E3" s="4">
        <v>190</v>
      </c>
      <c r="F3" s="3" t="inlineStr">
        <is>
          <t xml:space="preserve">0.28 × 0.17 × 0.29</t>
        </is>
      </c>
      <c r="G3" s="3">
        <v>1</v>
      </c>
    </row>
    <row r="4" ht="66" customHeight="1">
      <c r="A4" s="4" t="inlineStr">
        <is>
          <t xml:space="preserve">coral-mushroom</t>
        </is>
      </c>
      <c r="B4" s="3">
        <f>IMAGE("https://pub-590970a58ce5426989b3bcd2897271b4.r2.dev/sheet-images/decor/coral-mushroom.png?v=c5388742")</f>
      </c>
      <c r="C4" s="4" t="inlineStr">
        <is>
          <t xml:space="preserve">San hô nấm</t>
        </is>
      </c>
      <c r="D4" s="4" t="inlineStr">
        <is>
          <t xml:space="preserve">San hô sống bể biển, đĩa màu rực rỡ · Cần ánh sáng và dòng chảy chuyên dụng</t>
        </is>
      </c>
      <c r="E4" s="4">
        <v>240</v>
      </c>
      <c r="F4" s="3" t="inlineStr">
        <is>
          <t xml:space="preserve">0.24 × 0.15 × 0.22</t>
        </is>
      </c>
      <c r="G4" s="3">
        <v>1</v>
      </c>
    </row>
    <row r="5" ht="66" customHeight="1">
      <c r="A5" s="4" t="inlineStr">
        <is>
          <t xml:space="preserve">coral-zoanthid</t>
        </is>
      </c>
      <c r="B5" s="3">
        <f>IMAGE("https://pub-590970a58ce5426989b3bcd2897271b4.r2.dev/sheet-images/decor/coral-zoanthid.png?v=5ad05353")</f>
      </c>
      <c r="C5" s="4" t="inlineStr">
        <is>
          <t xml:space="preserve">San hô đồng tiền</t>
        </is>
      </c>
      <c r="D5" s="4" t="inlineStr">
        <is>
          <t xml:space="preserve">Cụm polyp tròn như đồng xu nhiều màu · San hô sống, cần ánh sáng và dòng chảy</t>
        </is>
      </c>
      <c r="E5" s="4">
        <v>220</v>
      </c>
      <c r="F5" s="3" t="inlineStr">
        <is>
          <t xml:space="preserve">0.26 × 0.11 × 0.23</t>
        </is>
      </c>
      <c r="G5" s="3">
        <v>1</v>
      </c>
    </row>
    <row r="6" ht="66" customHeight="1">
      <c r="A6" s="4" t="inlineStr">
        <is>
          <t xml:space="preserve">coral-artificial-branch</t>
        </is>
      </c>
      <c r="B6" s="3">
        <f>IMAGE("https://pub-590970a58ce5426989b3bcd2897271b4.r2.dev/sheet-images/decor/coral-artificial-branch.png?v=b330ee0b")</f>
      </c>
      <c r="C6" s="4" t="inlineStr">
        <is>
          <t xml:space="preserve">San hô nhân tạo nhánh</t>
        </is>
      </c>
      <c r="D6" s="4" t="inlineStr">
        <is>
          <t xml:space="preserve">Silicon an toàn, màu tươi, dễ vệ sinh · Mang phong cách biển vào hồ nước ngọt</t>
        </is>
      </c>
      <c r="E6" s="4">
        <v>120</v>
      </c>
      <c r="F6" s="3" t="inlineStr">
        <is>
          <t xml:space="preserve">0.33 × 0.20 × 0.31</t>
        </is>
      </c>
      <c r="G6" s="3">
        <v>1</v>
      </c>
    </row>
    <row r="7" ht="66" customHeight="1">
      <c r="A7" s="4" t="inlineStr">
        <is>
          <t xml:space="preserve">coral-artificial-fan</t>
        </is>
      </c>
      <c r="B7" s="3">
        <f>IMAGE("https://pub-590970a58ce5426989b3bcd2897271b4.r2.dev/sheet-images/decor/coral-artificial-fan.png?v=101b0af4")</f>
      </c>
      <c r="C7" s="4" t="inlineStr">
        <is>
          <t xml:space="preserve">San hô nhân tạo quạt</t>
        </is>
      </c>
      <c r="D7" s="4" t="inlineStr">
        <is>
          <t xml:space="preserve">Quạt biển silicon mềm, màu tươi, dễ vệ sinh · Hợp người mới chơi và hồ nước ngọt</t>
        </is>
      </c>
      <c r="E7" s="4">
        <v>130</v>
      </c>
      <c r="F7" s="3" t="inlineStr">
        <is>
          <t xml:space="preserve">0.15 × 0.21 × 0.06</t>
        </is>
      </c>
      <c r="G7" s="3">
        <v>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hornwort</t>
        </is>
      </c>
      <c r="B2" s="3">
        <f>IMAGE("https://pub-590970a58ce5426989b3bcd2897271b4.r2.dev/sheet-images/decor/hornwort.png?v=6f439db3")</f>
      </c>
      <c r="C2" s="4" t="inlineStr">
        <is>
          <t xml:space="preserve">Rong đuôi chó</t>
        </is>
      </c>
      <c r="D2" s="4" t="inlineStr">
        <is>
          <t xml:space="preserve">Cây thủy sinh trồng nền · Lá đung đưa theo dòng nước</t>
        </is>
      </c>
      <c r="E2" s="4">
        <v>60</v>
      </c>
      <c r="F2" s="3" t="inlineStr">
        <is>
          <t xml:space="preserve">0.23 × 0.49 × 0.23</t>
        </is>
      </c>
      <c r="G2" s="3">
        <v>1</v>
      </c>
    </row>
    <row r="3" ht="66" customHeight="1">
      <c r="A3" s="4" t="inlineStr">
        <is>
          <t xml:space="preserve">cabomba</t>
        </is>
      </c>
      <c r="B3" s="3">
        <f>IMAGE("https://pub-590970a58ce5426989b3bcd2897271b4.r2.dev/sheet-images/decor/cabomba.png?v=2521a16b")</f>
      </c>
      <c r="C3" s="4" t="inlineStr">
        <is>
          <t xml:space="preserve">Rong la hán</t>
        </is>
      </c>
      <c r="D3" s="4" t="inlineStr">
        <is>
          <t xml:space="preserve">Cây thủy sinh trồng nền · Lá đung đưa theo dòng nước</t>
        </is>
      </c>
      <c r="E3" s="4">
        <v>75</v>
      </c>
      <c r="F3" s="3" t="inlineStr">
        <is>
          <t xml:space="preserve">0.25 × 0.49 × 0.24</t>
        </is>
      </c>
      <c r="G3" s="3">
        <v>1</v>
      </c>
    </row>
    <row r="4" ht="66" customHeight="1">
      <c r="A4" s="4" t="inlineStr">
        <is>
          <t xml:space="preserve">vallisneria</t>
        </is>
      </c>
      <c r="B4" s="3">
        <f>IMAGE("https://pub-590970a58ce5426989b3bcd2897271b4.r2.dev/sheet-images/decor/vallisneria.png?v=eea77be9")</f>
      </c>
      <c r="C4" s="4" t="inlineStr">
        <is>
          <t xml:space="preserve">Cỏ Vallisneria</t>
        </is>
      </c>
      <c r="D4" s="4" t="inlineStr">
        <is>
          <t xml:space="preserve">Cây thủy sinh trồng nền · Lá đung đưa theo dòng nước</t>
        </is>
      </c>
      <c r="E4" s="4">
        <v>80</v>
      </c>
      <c r="F4" s="3" t="inlineStr">
        <is>
          <t xml:space="preserve">0.30 × 0.51 × 0.28</t>
        </is>
      </c>
      <c r="G4" s="3">
        <v>1</v>
      </c>
    </row>
    <row r="5" ht="66" customHeight="1">
      <c r="A5" s="4" t="inlineStr">
        <is>
          <t xml:space="preserve">rotala</t>
        </is>
      </c>
      <c r="B5" s="3">
        <f>IMAGE("https://pub-590970a58ce5426989b3bcd2897271b4.r2.dev/sheet-images/decor/rotala.png?v=78de231a")</f>
      </c>
      <c r="C5" s="4" t="inlineStr">
        <is>
          <t xml:space="preserve">Hồng liễu Rotala</t>
        </is>
      </c>
      <c r="D5" s="4" t="inlineStr">
        <is>
          <t xml:space="preserve">Cây thủy sinh trồng nền · Lá đung đưa theo dòng nước</t>
        </is>
      </c>
      <c r="E5" s="4">
        <v>100</v>
      </c>
      <c r="F5" s="3" t="inlineStr">
        <is>
          <t xml:space="preserve">0.19 × 0.50 × 0.21</t>
        </is>
      </c>
      <c r="G5" s="3">
        <v>1</v>
      </c>
    </row>
    <row r="6" ht="66" customHeight="1">
      <c r="A6" s="4" t="inlineStr">
        <is>
          <t xml:space="preserve">anubias-petite</t>
        </is>
      </c>
      <c r="B6" s="3">
        <f>IMAGE("https://pub-590970a58ce5426989b3bcd2897271b4.r2.dev/sheet-images/decor/anubias-petite.png?v=931b9c16")</f>
      </c>
      <c r="C6" s="4" t="inlineStr">
        <is>
          <t xml:space="preserve">Ráy nana petite</t>
        </is>
      </c>
      <c r="D6" s="4" t="inlineStr">
        <is>
          <t xml:space="preserve">Trồng trên nền hoặc kéo lên lũa, đá để gắn</t>
        </is>
      </c>
      <c r="E6" s="4">
        <v>120</v>
      </c>
      <c r="F6" s="3" t="inlineStr">
        <is>
          <t xml:space="preserve">0.22 × 0.21 × 0.21</t>
        </is>
      </c>
      <c r="G6" s="3">
        <v>1</v>
      </c>
    </row>
    <row r="7" ht="66" customHeight="1">
      <c r="A7" s="4" t="inlineStr">
        <is>
          <t xml:space="preserve">java-fern</t>
        </is>
      </c>
      <c r="B7" s="3">
        <f>IMAGE("https://pub-590970a58ce5426989b3bcd2897271b4.r2.dev/sheet-images/decor/java-fern.png?v=9636ccba")</f>
      </c>
      <c r="C7" s="4" t="inlineStr">
        <is>
          <t xml:space="preserve">Dương xỉ Java</t>
        </is>
      </c>
      <c r="D7" s="4" t="inlineStr">
        <is>
          <t xml:space="preserve">Trồng trên nền hoặc kéo lên lũa, đá để gắn</t>
        </is>
      </c>
      <c r="E7" s="4">
        <v>130</v>
      </c>
      <c r="F7" s="3" t="inlineStr">
        <is>
          <t xml:space="preserve">0.33 × 0.33 × 0.38</t>
        </is>
      </c>
      <c r="G7" s="3">
        <v>1</v>
      </c>
    </row>
    <row r="8" ht="66" customHeight="1">
      <c r="A8" s="4" t="inlineStr">
        <is>
          <t xml:space="preserve">starter-anubias</t>
        </is>
      </c>
      <c r="B8" s="3">
        <f>IMAGE("https://pub-590970a58ce5426989b3bcd2897271b4.r2.dev/sheet-images/decor/starter-anubias.png?v=a9eaf0b3")</f>
      </c>
      <c r="C8" s="4" t="inlineStr">
        <is>
          <t xml:space="preserve">Ráy Anubias</t>
        </is>
      </c>
      <c r="D8" s="4" t="inlineStr">
        <is>
          <t xml:space="preserve">Cây lá rộng · Trồng nền hoặc gắn lên lũa, đá</t>
        </is>
      </c>
      <c r="E8" s="4">
        <v>140</v>
      </c>
      <c r="F8" s="3" t="inlineStr">
        <is>
          <t xml:space="preserve">0.78 × 0.78 × 0.90</t>
        </is>
      </c>
      <c r="G8" s="3">
        <v>1</v>
      </c>
    </row>
    <row r="9" ht="66" customHeight="1">
      <c r="A9" s="4" t="inlineStr">
        <is>
          <t xml:space="preserve">vallisneria-tall</t>
        </is>
      </c>
      <c r="B9" s="3">
        <f>IMAGE("https://pub-590970a58ce5426989b3bcd2897271b4.r2.dev/sheet-images/decor/vallisneria-tall.png?v=ca47d4e7")</f>
      </c>
      <c r="C9" s="4" t="inlineStr">
        <is>
          <t xml:space="preserve">Hẹ nước Vallisneria cao</t>
        </is>
      </c>
      <c r="D9" s="4" t="inlineStr">
        <is>
          <t xml:space="preserve">Cây hậu cảnh lá dài gần chạm mặt nước · Trồng sát kính sau · 1 điểm</t>
        </is>
      </c>
      <c r="E9" s="4">
        <v>180</v>
      </c>
      <c r="F9" s="3" t="inlineStr">
        <is>
          <t xml:space="preserve">0.64 × 1.82 × 0.62</t>
        </is>
      </c>
      <c r="G9" s="3">
        <v>1</v>
      </c>
    </row>
    <row r="10" ht="66" customHeight="1">
      <c r="A10" s="4" t="inlineStr">
        <is>
          <t xml:space="preserve">rotala-tall</t>
        </is>
      </c>
      <c r="B10" s="3">
        <f>IMAGE("https://pub-590970a58ce5426989b3bcd2897271b4.r2.dev/sheet-images/decor/rotala-tall.png?v=5f775dea")</f>
      </c>
      <c r="C10" s="4" t="inlineStr">
        <is>
          <t xml:space="preserve">Hồng liễu Rotala cao</t>
        </is>
      </c>
      <c r="D10" s="4" t="inlineStr">
        <is>
          <t xml:space="preserve">Bụi thân đứng cao, ngọn đỏ cam · Trồng hậu cảnh · 1 điểm</t>
        </is>
      </c>
      <c r="E10" s="4">
        <v>200</v>
      </c>
      <c r="F10" s="3" t="inlineStr">
        <is>
          <t xml:space="preserve">0.20 × 1.51 × 0.22</t>
        </is>
      </c>
      <c r="G10" s="3">
        <v>1</v>
      </c>
    </row>
    <row r="11" ht="66" customHeight="1">
      <c r="A11" s="4" t="inlineStr">
        <is>
          <t xml:space="preserve">amazon-sword</t>
        </is>
      </c>
      <c r="B11" s="3">
        <f>IMAGE("https://pub-590970a58ce5426989b3bcd2897271b4.r2.dev/sheet-images/decor/amazon-sword.png?v=f28ab0f3")</f>
      </c>
      <c r="C11" s="4" t="inlineStr">
        <is>
          <t xml:space="preserve">Kiếm Amazon</t>
        </is>
      </c>
      <c r="D11" s="4" t="inlineStr">
        <is>
          <t xml:space="preserve">Bụi lá to hình lưỡi kiếm, làm điểm nhấn trung cảnh · Tỉa hoặc cho mọc cao · 2 điểm</t>
        </is>
      </c>
      <c r="E11" s="4">
        <v>220</v>
      </c>
      <c r="F11" s="3" t="inlineStr">
        <is>
          <t xml:space="preserve">0.47 × 0.65 × 0.77</t>
        </is>
      </c>
      <c r="G11" s="3">
        <v>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java-moss</t>
        </is>
      </c>
      <c r="B2" s="3">
        <f>IMAGE("https://pub-590970a58ce5426989b3bcd2897271b4.r2.dev/sheet-images/decor/java-moss.png?v=4296be1f")</f>
      </c>
      <c r="C2" s="4" t="inlineStr">
        <is>
          <t xml:space="preserve">Rêu Java</t>
        </is>
      </c>
      <c r="D2" s="4" t="inlineStr">
        <is>
          <t xml:space="preserve">Trồng trên nền hoặc kéo lên lũa, đá để gắn</t>
        </is>
      </c>
      <c r="E2" s="4">
        <v>80</v>
      </c>
      <c r="F2" s="3" t="inlineStr">
        <is>
          <t xml:space="preserve">0.18 × 0.10 × 0.20</t>
        </is>
      </c>
      <c r="G2" s="3">
        <v>1</v>
      </c>
    </row>
    <row r="3" ht="66" customHeight="1">
      <c r="A3" s="4" t="inlineStr">
        <is>
          <t xml:space="preserve">christmas-moss</t>
        </is>
      </c>
      <c r="B3" s="3">
        <f>IMAGE("https://pub-590970a58ce5426989b3bcd2897271b4.r2.dev/sheet-images/decor/christmas-moss.png?v=bec1ee5a")</f>
      </c>
      <c r="C3" s="4" t="inlineStr">
        <is>
          <t xml:space="preserve">Rêu Christmas</t>
        </is>
      </c>
      <c r="D3" s="4" t="inlineStr">
        <is>
          <t xml:space="preserve">Trồng trên nền hoặc kéo lên lũa, đá để gắn</t>
        </is>
      </c>
      <c r="E3" s="4">
        <v>100</v>
      </c>
      <c r="F3" s="3" t="inlineStr">
        <is>
          <t xml:space="preserve">0.19 × 0.10 × 0.20</t>
        </is>
      </c>
      <c r="G3" s="3">
        <v>1</v>
      </c>
    </row>
    <row r="4" ht="66" customHeight="1">
      <c r="A4" s="4" t="inlineStr">
        <is>
          <t xml:space="preserve">mini-fiss</t>
        </is>
      </c>
      <c r="B4" s="3">
        <f>IMAGE("https://pub-590970a58ce5426989b3bcd2897271b4.r2.dev/sheet-images/decor/mini-fiss.png?v=ab3fa96d")</f>
      </c>
      <c r="C4" s="4" t="inlineStr">
        <is>
          <t xml:space="preserve">Rêu mini fiss</t>
        </is>
      </c>
      <c r="D4" s="4" t="inlineStr">
        <is>
          <t xml:space="preserve">Trồng trên nền hoặc kéo lên lũa, đá để gắn</t>
        </is>
      </c>
      <c r="E4" s="4">
        <v>110</v>
      </c>
      <c r="F4" s="3" t="inlineStr">
        <is>
          <t xml:space="preserve">0.11 × 0.03 × 0.11</t>
        </is>
      </c>
      <c r="G4" s="3">
        <v>1</v>
      </c>
    </row>
    <row r="5" ht="66" customHeight="1">
      <c r="A5" s="4" t="inlineStr">
        <is>
          <t xml:space="preserve">moss-mini-taiwan</t>
        </is>
      </c>
      <c r="B5" s="3">
        <f>IMAGE("https://pub-590970a58ce5426989b3bcd2897271b4.r2.dev/sheet-images/decor/moss-mini-taiwan.png?v=6278abc9")</f>
      </c>
      <c r="C5" s="4" t="inlineStr">
        <is>
          <t xml:space="preserve">Rêu Mini Taiwan</t>
        </is>
      </c>
      <c r="D5" s="4" t="inlineStr">
        <is>
          <t xml:space="preserve">Taxiphyllum alternans · Lá li ti mọc thành thảm dày · Gắn lên đá, lũa hoặc trải nền</t>
        </is>
      </c>
      <c r="E5" s="4">
        <v>90</v>
      </c>
      <c r="F5" s="3" t="inlineStr">
        <is>
          <t xml:space="preserve">0.14 × 0.02 × 0.13</t>
        </is>
      </c>
      <c r="G5" s="3">
        <v>1</v>
      </c>
    </row>
    <row r="6" ht="66" customHeight="1">
      <c r="A6" s="4" t="inlineStr">
        <is>
          <t xml:space="preserve">moss-weeping</t>
        </is>
      </c>
      <c r="B6" s="3">
        <f>IMAGE("https://pub-590970a58ce5426989b3bcd2897271b4.r2.dev/sheet-images/decor/moss-weeping.png?v=aa4174f8")</f>
      </c>
      <c r="C6" s="4" t="inlineStr">
        <is>
          <t xml:space="preserve">Rêu Weeping</t>
        </is>
      </c>
      <c r="D6" s="4" t="inlineStr">
        <is>
          <t xml:space="preserve">Vesicularia ferriei · Nhánh rủ như liễu, đẹp nhất trên lũa cao · Gắn lên đá, lũa hoặc nền</t>
        </is>
      </c>
      <c r="E6" s="4">
        <v>120</v>
      </c>
      <c r="F6" s="3" t="inlineStr">
        <is>
          <t xml:space="preserve">0.19 × 0.05 × 0.19</t>
        </is>
      </c>
      <c r="G6" s="3">
        <v>1</v>
      </c>
    </row>
    <row r="7" ht="66" customHeight="1">
      <c r="A7" s="4" t="inlineStr">
        <is>
          <t xml:space="preserve">moss-flame</t>
        </is>
      </c>
      <c r="B7" s="3">
        <f>IMAGE("https://pub-590970a58ce5426989b3bcd2897271b4.r2.dev/sheet-images/decor/moss-flame.png?v=22f039a3")</f>
      </c>
      <c r="C7" s="4" t="inlineStr">
        <is>
          <t xml:space="preserve">Rêu Flame</t>
        </is>
      </c>
      <c r="D7" s="4" t="inlineStr">
        <is>
          <t xml:space="preserve">Taxiphyllum 'Flame' · Nhánh vươn thẳng, xoắn như ngọn lửa xanh · Gắn lên đá, lũa hoặc nền</t>
        </is>
      </c>
      <c r="E7" s="4">
        <v>130</v>
      </c>
      <c r="F7" s="3" t="inlineStr">
        <is>
          <t xml:space="preserve">0.11 × 0.10 × 0.10</t>
        </is>
      </c>
      <c r="G7" s="3">
        <v>1</v>
      </c>
    </row>
    <row r="8" ht="66" customHeight="1">
      <c r="A8" s="4" t="inlineStr">
        <is>
          <t xml:space="preserve">moss-wall-taiwan</t>
        </is>
      </c>
      <c r="B8" s="3">
        <f>IMAGE("https://pub-590970a58ce5426989b3bcd2897271b4.r2.dev/sheet-images/decor/moss-wall-taiwan.png?v=ebebe697")</f>
      </c>
      <c r="C8" s="4" t="inlineStr">
        <is>
          <t xml:space="preserve">Tường rêu Mini Taiwan</t>
        </is>
      </c>
      <c r="D8" s="4" t="inlineStr">
        <is>
          <t xml:space="preserve">Tấm rêu dán kính sau hồ, phủ thảm dày · Ghép nhiều tấm thành tường rêu</t>
        </is>
      </c>
      <c r="E8" s="4">
        <v>220</v>
      </c>
      <c r="F8" s="3" t="inlineStr">
        <is>
          <t xml:space="preserve">0.44 × 0.34 × 0.03</t>
        </is>
      </c>
      <c r="G8" s="3">
        <v>1</v>
      </c>
    </row>
    <row r="9" ht="66" customHeight="1">
      <c r="A9" s="4" t="inlineStr">
        <is>
          <t xml:space="preserve">moss-wall-weeping</t>
        </is>
      </c>
      <c r="B9" s="3">
        <f>IMAGE("https://pub-590970a58ce5426989b3bcd2897271b4.r2.dev/sheet-images/decor/moss-wall-weeping.png?v=660d745e")</f>
      </c>
      <c r="C9" s="4" t="inlineStr">
        <is>
          <t xml:space="preserve">Tường rêu Weeping</t>
        </is>
      </c>
      <c r="D9" s="4" t="inlineStr">
        <is>
          <t xml:space="preserve">Tấm rêu dán kính sau hồ, nhánh rủ xuống như thác · Ghép nhiều tấm thành tường rêu</t>
        </is>
      </c>
      <c r="E9" s="4">
        <v>260</v>
      </c>
      <c r="F9" s="3" t="inlineStr">
        <is>
          <t xml:space="preserve">0.45 × 0.32 × 0.11</t>
        </is>
      </c>
      <c r="G9" s="3">
        <v>1</v>
      </c>
    </row>
    <row r="10" ht="66" customHeight="1">
      <c r="A10" s="4" t="inlineStr">
        <is>
          <t xml:space="preserve">carpet-hairgrass</t>
        </is>
      </c>
      <c r="B10" s="3">
        <f>IMAGE("https://pub-590970a58ce5426989b3bcd2897271b4.r2.dev/sheet-images/decor/carpet-hairgrass.png?v=fe03e6ad")</f>
      </c>
      <c r="C10" s="4" t="inlineStr">
        <is>
          <t xml:space="preserve">Thảm Ngưu mao chiên</t>
        </is>
      </c>
      <c r="D10" s="4" t="inlineStr">
        <is>
          <t xml:space="preserve">Gói 10 ô thảm tiền cảnh · Chọn rồi kéo trên cát để trải, Tẩy để xoá · Không tính điểm</t>
        </is>
      </c>
      <c r="E10" s="4">
        <v>60</v>
      </c>
      <c r="F10" s="3" t="inlineStr">
        <is>
          <t xml:space="preserve">0.23 × 0.09 × 0.16</t>
        </is>
      </c>
      <c r="G10" s="3">
        <v>0</v>
      </c>
    </row>
    <row r="11" ht="66" customHeight="1">
      <c r="A11" s="4" t="inlineStr">
        <is>
          <t xml:space="preserve">carpet-monte-carlo</t>
        </is>
      </c>
      <c r="B11" s="3">
        <f>IMAGE("https://pub-590970a58ce5426989b3bcd2897271b4.r2.dev/sheet-images/decor/carpet-monte-carlo.png?v=4c898d13")</f>
      </c>
      <c r="C11" s="4" t="inlineStr">
        <is>
          <t xml:space="preserve">Thảm Trân châu Nhật</t>
        </is>
      </c>
      <c r="D11" s="4" t="inlineStr">
        <is>
          <t xml:space="preserve">Gói 10 ô thảm tiền cảnh · Chọn rồi kéo trên cát để trải, Tẩy để xoá · Không tính điểm</t>
        </is>
      </c>
      <c r="E11" s="4">
        <v>70</v>
      </c>
      <c r="F11" s="3" t="inlineStr">
        <is>
          <t xml:space="preserve">0.21 × 0.03 × 0.14</t>
        </is>
      </c>
      <c r="G11" s="3">
        <v>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6" customWidth="1"/>
    <col min="7" max="7" width="8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(R × C × S)</t>
        </is>
      </c>
      <c r="G1" s="2" t="inlineStr">
        <is>
          <t xml:space="preserve">điểm</t>
        </is>
      </c>
    </row>
    <row r="2" ht="66" customHeight="1">
      <c r="A2" s="4" t="inlineStr">
        <is>
          <t xml:space="preserve">duckweed</t>
        </is>
      </c>
      <c r="B2" s="3">
        <f>IMAGE("https://pub-590970a58ce5426989b3bcd2897271b4.r2.dev/sheet-images/decor/duckweed.png?v=4e79067c")</f>
      </c>
      <c r="C2" s="4" t="inlineStr">
        <is>
          <t xml:space="preserve">Bèo tấm</t>
        </is>
      </c>
      <c r="D2" s="4" t="inlineStr">
        <is>
          <t xml:space="preserve">Bèo nổi trên mặt nước · Kéo để sắp xếp từng cụm</t>
        </is>
      </c>
      <c r="E2" s="4">
        <v>40</v>
      </c>
      <c r="F2" s="3" t="inlineStr">
        <is>
          <t xml:space="preserve">0.17 × 0.05 × 0.15</t>
        </is>
      </c>
      <c r="G2" s="3">
        <v>1</v>
      </c>
    </row>
    <row r="3" ht="66" customHeight="1">
      <c r="A3" s="4" t="inlineStr">
        <is>
          <t xml:space="preserve">salvinia</t>
        </is>
      </c>
      <c r="B3" s="3">
        <f>IMAGE("https://pub-590970a58ce5426989b3bcd2897271b4.r2.dev/sheet-images/decor/salvinia.png?v=85d01fb4")</f>
      </c>
      <c r="C3" s="4" t="inlineStr">
        <is>
          <t xml:space="preserve">Bèo ong</t>
        </is>
      </c>
      <c r="D3" s="4" t="inlineStr">
        <is>
          <t xml:space="preserve">Bèo nổi trên mặt nước · Kéo để sắp xếp từng cụm</t>
        </is>
      </c>
      <c r="E3" s="4">
        <v>55</v>
      </c>
      <c r="F3" s="3" t="inlineStr">
        <is>
          <t xml:space="preserve">0.18 × 0.05 × 0.17</t>
        </is>
      </c>
      <c r="G3" s="3">
        <v>1</v>
      </c>
    </row>
    <row r="4" ht="66" customHeight="1">
      <c r="A4" s="4" t="inlineStr">
        <is>
          <t xml:space="preserve">frogbit</t>
        </is>
      </c>
      <c r="B4" s="3">
        <f>IMAGE("https://pub-590970a58ce5426989b3bcd2897271b4.r2.dev/sheet-images/decor/frogbit.png?v=c89b8d11")</f>
      </c>
      <c r="C4" s="4" t="inlineStr">
        <is>
          <t xml:space="preserve">Bèo Nhật</t>
        </is>
      </c>
      <c r="D4" s="4" t="inlineStr">
        <is>
          <t xml:space="preserve">Bèo nổi trên mặt nước · Kéo để sắp xếp từng cụm</t>
        </is>
      </c>
      <c r="E4" s="4">
        <v>70</v>
      </c>
      <c r="F4" s="3" t="inlineStr">
        <is>
          <t xml:space="preserve">0.22 × 0.15 × 0.16</t>
        </is>
      </c>
      <c r="G4" s="3">
        <v>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</row>
    <row r="2" ht="66" customHeight="1">
      <c r="A2" s="4" t="inlineStr">
        <is>
          <t xml:space="preserve">wall_river</t>
        </is>
      </c>
      <c r="B2" s="3">
        <f>IMAGE("https://pub-590970a58ce5426989b3bcd2897271b4.r2.dev/sheet-images/surface/surface_wall_river.png?v=698c5aa5")</f>
      </c>
      <c r="C2" s="4" t="inlineStr">
        <is>
          <t xml:space="preserve">Đá sỏi</t>
        </is>
      </c>
      <c r="D2" s="4" t="inlineStr">
        <is>
          <t xml:space="preserve">Vách đá sỏi tự nhiên của hồ</t>
        </is>
      </c>
      <c r="E2" s="4">
        <v>0</v>
      </c>
    </row>
    <row r="3" ht="66" customHeight="1">
      <c r="A3" s="4" t="inlineStr">
        <is>
          <t xml:space="preserve">wall_slate</t>
        </is>
      </c>
      <c r="B3" s="3">
        <f>IMAGE("https://pub-590970a58ce5426989b3bcd2897271b4.r2.dev/sheet-images/surface/surface_wall_slate.png?v=02a7eb64")</f>
      </c>
      <c r="C3" s="4" t="inlineStr">
        <is>
          <t xml:space="preserve">Đá xám</t>
        </is>
      </c>
      <c r="D3" s="4" t="inlineStr">
        <is>
          <t xml:space="preserve">Vách đá phiến xám có vân nứt</t>
        </is>
      </c>
      <c r="E3" s="4">
        <v>300</v>
      </c>
    </row>
    <row r="4" ht="66" customHeight="1">
      <c r="A4" s="4" t="inlineStr">
        <is>
          <t xml:space="preserve">wall_brick</t>
        </is>
      </c>
      <c r="B4" s="3">
        <f>IMAGE("https://pub-590970a58ce5426989b3bcd2897271b4.r2.dev/sheet-images/surface/surface_wall_brick.png?v=1174e141")</f>
      </c>
      <c r="C4" s="4" t="inlineStr">
        <is>
          <t xml:space="preserve">Gạch nung</t>
        </is>
      </c>
      <c r="D4" s="4" t="inlineStr">
        <is>
          <t xml:space="preserve">Vách gạch đỏ xếp so le</t>
        </is>
      </c>
      <c r="E4" s="4">
        <v>350</v>
      </c>
    </row>
    <row r="5" ht="66" customHeight="1">
      <c r="A5" s="4" t="inlineStr">
        <is>
          <t xml:space="preserve">wall_planks</t>
        </is>
      </c>
      <c r="B5" s="3">
        <f>IMAGE("https://pub-590970a58ce5426989b3bcd2897271b4.r2.dev/sheet-images/surface/surface_wall_planks.png?v=d7b745e8")</f>
      </c>
      <c r="C5" s="4" t="inlineStr">
        <is>
          <t xml:space="preserve">Ván gỗ</t>
        </is>
      </c>
      <c r="D5" s="4" t="inlineStr">
        <is>
          <t xml:space="preserve">Vách ván gỗ dọc ấm áp</t>
        </is>
      </c>
      <c r="E5" s="4">
        <v>400</v>
      </c>
    </row>
    <row r="6" ht="66" customHeight="1">
      <c r="A6" s="4" t="inlineStr">
        <is>
          <t xml:space="preserve">wall_gold</t>
        </is>
      </c>
      <c r="B6" s="3">
        <f>IMAGE("https://pub-590970a58ce5426989b3bcd2897271b4.r2.dev/sheet-images/surface/surface_wall_gold.png?v=2289e50a")</f>
      </c>
      <c r="C6" s="4" t="inlineStr">
        <is>
          <t xml:space="preserve">Hoa văn vàng</t>
        </is>
      </c>
      <c r="D6" s="4" t="inlineStr">
        <is>
          <t xml:space="preserve">Hoa văn vàng nổi trên nền xanh đậm</t>
        </is>
      </c>
      <c r="E6" s="4">
        <v>450</v>
      </c>
    </row>
    <row r="7" ht="66" customHeight="1">
      <c r="A7" s="4" t="inlineStr">
        <is>
          <t xml:space="preserve">wall_jade</t>
        </is>
      </c>
      <c r="B7" s="3">
        <f>IMAGE("https://pub-590970a58ce5426989b3bcd2897271b4.r2.dev/sheet-images/surface/surface_wall_jade.png?v=20aa210b")</f>
      </c>
      <c r="C7" s="4" t="inlineStr">
        <is>
          <t xml:space="preserve">Hoa văn xanh ngọc</t>
        </is>
      </c>
      <c r="D7" s="4" t="inlineStr">
        <is>
          <t xml:space="preserve">Hoa văn xanh ngọc trên nền sáng</t>
        </is>
      </c>
      <c r="E7" s="4">
        <v>450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</row>
    <row r="2" ht="66" customHeight="1">
      <c r="A2" s="4" t="inlineStr">
        <is>
          <t xml:space="preserve">sand_river</t>
        </is>
      </c>
      <c r="B2" s="3">
        <f>IMAGE("https://pub-590970a58ce5426989b3bcd2897271b4.r2.dev/sheet-images/surface/surface_sand_river.png?v=a335e3b8")</f>
      </c>
      <c r="C2" s="4" t="inlineStr">
        <is>
          <t xml:space="preserve">Cát vàng</t>
        </is>
      </c>
      <c r="D2" s="4" t="inlineStr">
        <is>
          <t xml:space="preserve">Cát sông vàng kèm sỏi nhỏ</t>
        </is>
      </c>
      <c r="E2" s="4">
        <v>0</v>
      </c>
    </row>
    <row r="3" ht="66" customHeight="1">
      <c r="A3" s="4" t="inlineStr">
        <is>
          <t xml:space="preserve">sand_white</t>
        </is>
      </c>
      <c r="B3" s="3">
        <f>IMAGE("https://pub-590970a58ce5426989b3bcd2897271b4.r2.dev/sheet-images/surface/surface_sand_white.png?v=b6607ff5")</f>
      </c>
      <c r="C3" s="4" t="inlineStr">
        <is>
          <t xml:space="preserve">Cát trắng</t>
        </is>
      </c>
      <c r="D3" s="4" t="inlineStr">
        <is>
          <t xml:space="preserve">Cát trắng mịn, hồ sáng hơn</t>
        </is>
      </c>
      <c r="E3" s="4">
        <v>150</v>
      </c>
    </row>
    <row r="4" ht="66" customHeight="1">
      <c r="A4" s="4" t="inlineStr">
        <is>
          <t xml:space="preserve">sand_black</t>
        </is>
      </c>
      <c r="B4" s="3">
        <f>IMAGE("https://pub-590970a58ce5426989b3bcd2897271b4.r2.dev/sheet-images/surface/surface_sand_black.png?v=361ea7e2")</f>
      </c>
      <c r="C4" s="4" t="inlineStr">
        <is>
          <t xml:space="preserve">Cát đen</t>
        </is>
      </c>
      <c r="D4" s="4" t="inlineStr">
        <is>
          <t xml:space="preserve">Cát đen làm nổi màu cá</t>
        </is>
      </c>
      <c r="E4" s="4">
        <v>200</v>
      </c>
    </row>
    <row r="5" ht="66" customHeight="1">
      <c r="A5" s="4" t="inlineStr">
        <is>
          <t xml:space="preserve">sand_pink</t>
        </is>
      </c>
      <c r="B5" s="3">
        <f>IMAGE("https://pub-590970a58ce5426989b3bcd2897271b4.r2.dev/sheet-images/surface/surface_sand_pink.png?v=2a9fa67c")</f>
      </c>
      <c r="C5" s="4" t="inlineStr">
        <is>
          <t xml:space="preserve">Cát hồng</t>
        </is>
      </c>
      <c r="D5" s="4" t="inlineStr">
        <is>
          <t xml:space="preserve">Cát hồng san hô mịn</t>
        </is>
      </c>
      <c r="E5" s="4">
        <v>250</v>
      </c>
    </row>
    <row r="6" ht="66" customHeight="1">
      <c r="A6" s="4" t="inlineStr">
        <is>
          <t xml:space="preserve">gravel_river</t>
        </is>
      </c>
      <c r="B6" s="3">
        <f>IMAGE("https://pub-590970a58ce5426989b3bcd2897271b4.r2.dev/sheet-images/surface/surface_gravel_river.png?v=37326e0b")</f>
      </c>
      <c r="C6" s="4" t="inlineStr">
        <is>
          <t xml:space="preserve">Sỏi suối</t>
        </is>
      </c>
      <c r="D6" s="4" t="inlineStr">
        <is>
          <t xml:space="preserve">Sỏi suối tròn nhiều màu</t>
        </is>
      </c>
      <c r="E6" s="4">
        <v>300</v>
      </c>
    </row>
    <row r="7" ht="66" customHeight="1">
      <c r="A7" s="4" t="inlineStr">
        <is>
          <t xml:space="preserve">gravel_black</t>
        </is>
      </c>
      <c r="B7" s="3">
        <f>IMAGE("https://pub-590970a58ce5426989b3bcd2897271b4.r2.dev/sheet-images/surface/surface_gravel_black.png?v=4e8b2c56")</f>
      </c>
      <c r="C7" s="4" t="inlineStr">
        <is>
          <t xml:space="preserve">Sỏi đen</t>
        </is>
      </c>
      <c r="D7" s="4" t="inlineStr">
        <is>
          <t xml:space="preserve">Sỏi đen bóng</t>
        </is>
      </c>
      <c r="E7" s="4">
        <v>300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6" customWidth="1"/>
    <col min="3" max="3" width="28" customWidth="1"/>
    <col min="4" max="4" width="60" customWidth="1"/>
    <col min="5" max="5" width="9" customWidth="1"/>
    <col min="6" max="6" width="25" customWidth="1"/>
    <col min="7" max="7" width="19" customWidth="1"/>
  </cols>
  <sheetData>
    <row r="1">
      <c r="A1" s="1" t="inlineStr">
        <is>
          <t xml:space="preserve">id</t>
        </is>
      </c>
      <c r="B1" s="2" t="inlineStr">
        <is>
          <t xml:space="preserve">ảnh</t>
        </is>
      </c>
      <c r="C1" s="1" t="inlineStr">
        <is>
          <t xml:space="preserve">tên</t>
        </is>
      </c>
      <c r="D1" s="1" t="inlineStr">
        <is>
          <t xml:space="preserve">mô tả</t>
        </is>
      </c>
      <c r="E1" s="1" t="inlineStr">
        <is>
          <t xml:space="preserve">giá</t>
        </is>
      </c>
      <c r="F1" s="2" t="inlineStr">
        <is>
          <t xml:space="preserve">kích thước (màn hình)</t>
        </is>
      </c>
      <c r="G1" s="2" t="inlineStr">
        <is>
          <t xml:space="preserve">sức chứa (điểm)</t>
        </is>
      </c>
    </row>
    <row r="2" ht="66" customHeight="1">
      <c r="A2" s="4" t="inlineStr">
        <is>
          <t xml:space="preserve">tank_square</t>
        </is>
      </c>
      <c r="B2" s="3"/>
      <c r="C2" s="4" t="inlineStr">
        <is>
          <t xml:space="preserve">Hồ vuông</t>
        </is>
      </c>
      <c r="D2" s="4" t="inlineStr">
        <is>
          <t xml:space="preserve">Rộng 1 màn hình · đáy vuông</t>
        </is>
      </c>
      <c r="E2" s="4">
        <v>0</v>
      </c>
      <c r="F2" s="3" t="inlineStr">
        <is>
          <t xml:space="preserve">rộng 1 × sâu 1</t>
        </is>
      </c>
      <c r="G2" s="3">
        <v>24</v>
      </c>
    </row>
    <row r="3" ht="66" customHeight="1">
      <c r="A3" s="4" t="inlineStr">
        <is>
          <t xml:space="preserve">tank_deep</t>
        </is>
      </c>
      <c r="B3" s="3"/>
      <c r="C3" s="4" t="inlineStr">
        <is>
          <t xml:space="preserve">Hồ sâu</t>
        </is>
      </c>
      <c r="D3" s="4" t="inlineStr">
        <is>
          <t xml:space="preserve">Rộng 1 màn hình · sâu gấp đôi</t>
        </is>
      </c>
      <c r="E3" s="4">
        <v>1500</v>
      </c>
      <c r="F3" s="3" t="inlineStr">
        <is>
          <t xml:space="preserve">rộng 1 × sâu 2</t>
        </is>
      </c>
      <c r="G3" s="3">
        <v>40</v>
      </c>
    </row>
    <row r="4" ht="66" customHeight="1">
      <c r="A4" s="4" t="inlineStr">
        <is>
          <t xml:space="preserve">tank_wide</t>
        </is>
      </c>
      <c r="B4" s="3"/>
      <c r="C4" s="4" t="inlineStr">
        <is>
          <t xml:space="preserve">Hồ rộng</t>
        </is>
      </c>
      <c r="D4" s="4" t="inlineStr">
        <is>
          <t xml:space="preserve">Rộng 1,5 màn hình · vuốt ngang để xem</t>
        </is>
      </c>
      <c r="E4" s="4">
        <v>2500</v>
      </c>
      <c r="F4" s="3" t="inlineStr">
        <is>
          <t xml:space="preserve">rộng 1.5 × sâu 1.5</t>
        </is>
      </c>
      <c r="G4" s="3">
        <v>48</v>
      </c>
    </row>
  </sheetData>
</worksheet>
</file>